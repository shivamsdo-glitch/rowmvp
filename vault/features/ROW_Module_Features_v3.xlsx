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ME" sheetId="1" state="visible" r:id="rId3"/>
    <sheet name="Release Key" sheetId="2" state="visible" r:id="rId4"/>
    <sheet name="ROW Features" sheetId="3" state="visible" r:id="rId5"/>
    <sheet name="City-County ROW Use" sheetId="4" state="visible" r:id="rId6"/>
    <sheet name="Traceability" sheetId="5" state="visible" r:id="rId7"/>
    <sheet name="Sources" sheetId="6" state="visible" r:id="rId8"/>
    <sheet name="Summary" sheetId="7" state="visible" r:id="rId9"/>
    <sheet name="Open Questions" sheetId="8" state="visible" r:id="rId10"/>
  </sheets>
  <definedNames>
    <definedName function="false" hidden="true" localSheetId="3" name="_xlnm._FilterDatabase" vbProcedure="false">'City-County ROW Use'!$A$3:$Y$49</definedName>
    <definedName function="false" hidden="true" localSheetId="2" name="_xlnm._FilterDatabase" vbProcedure="false">'ROW Features'!$A$3:$AC$326</definedName>
    <definedName function="false" hidden="true" localSheetId="4" name="_xlnm._FilterDatabase" vbProcedure="false">Traceability!$A$1:$K$960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<sst xmlns="http://schemas.openxmlformats.org/spreadsheetml/2006/main" count="16560" uniqueCount="3782">
  <si>
    <t xml:space="preserve">ROW Module – Consolidated Feature Union</t>
  </si>
  <si>
    <t xml:space="preserve">Primary focus</t>
  </si>
  <si>
    <t xml:space="preserve">The 'ROW Features' sheet is the deliverable: features for Right-of-Way (ROW) land acquisition, relocation, condemnation, payments, property management, utilities coordination, and the platform capabilities ROW needs (documents, workflow, GIS, reporting, security, integration). It is built only from the six ROW/real-estate requirement documents (NH DOT, Idaho, NMDOT, WSDOT, Austin, Osceola §6.1.7).</t>
  </si>
  <si>
    <t xml:space="preserve">City / County sheet</t>
  </si>
  <si>
    <t xml:space="preserve">'City-County ROW Use' is a SEPARATE sheet. It holds requirements for managing USE of public right-of-way (permits, inspections, street/curb data) from city/county-level documents (Detroit, Calgary, Regina, Smart ROW matrix). These are city/county level requirements and are NOT part of the ROW module scope above; they are kept only for reference.</t>
  </si>
  <si>
    <t xml:space="preserve">Sheets</t>
  </si>
  <si>
    <t xml:space="preserve">ROW Features – the union for the ROW module.  City-County ROW Use – separate, reference only.  Traceability – every source item behind every feature (verbatim).  Sources – the documents and how priority was read.  Summary – formula counts.  Open Questions – items I could not determine.</t>
  </si>
  <si>
    <t xml:space="preserve">Consolidated priority (formula)</t>
  </si>
  <si>
    <t xml:space="preserve">Computed from the per-source codes, using the HIGHEST rating any counted source gave: Must Have (M) &gt; Should Have (S) &gt; Could Have (C) &gt; Stated – no priority (E) &gt; Aurigo-only. It means 'at least one source requires it', not agreement – use '# sources', '# sources rating Must' and 'Consensus tier' for weight.</t>
  </si>
  <si>
    <t xml:space="preserve">Per-source codes</t>
  </si>
  <si>
    <t xml:space="preserve">M = Must/Required.  S = Should/Desired/Medium/Preferred.  C = Could/Optional/Low.  E = stated as needed but no priority given (typical of RFIs).  Blank = not mentioned. Exact rule per source is on the Sources sheet; the source's own label is kept in 'Source references'.</t>
  </si>
  <si>
    <t xml:space="preserve">Consensus tier</t>
  </si>
  <si>
    <t xml:space="preserve">Tier 1 = rated Must by 3+ sources; Tier 2 = Must in 2; Tier 3 = Must in 1; Tier 4 = Should only; Tier 5 = Could only; Tier 6 = stated, no priority. Useful because NH and Idaho rate almost everything as required.</t>
  </si>
  <si>
    <t xml:space="preserve">Aurigo coverage columns</t>
  </si>
  <si>
    <t xml:space="preserve">Judged ONLY from Aurigo documents in the project (ROW Pro SOW – Original and Pro versions, demo script, deck, library list). 'Covered (SOW)' = named in the SOW; 'Partial' = related but not the full ask; 'Platform / demo only' = in demo script/deck, not SOW; 'Not evidenced' = nothing found in those documents (not the same as 'product lacks it').</t>
  </si>
  <si>
    <t xml:space="preserve">'Also asked by city/county docs'</t>
  </si>
  <si>
    <t xml:space="preserve">On ROW Features, this column notes where a city/county document also asks for a similar capability. Those mentions are NOT counted in priority or source counts.</t>
  </si>
  <si>
    <t xml:space="preserve">De-duplication caveat</t>
  </si>
  <si>
    <t xml:space="preserve">Feature count is my consolidation, not a count of source requirements. Similar asks were merged; report-tool minutiae in the Idaho RFP are summarised in a few features. NH rows with truncated text are not mapped (see Open Questions).</t>
  </si>
  <si>
    <t xml:space="preserve">No-guess policy</t>
  </si>
  <si>
    <t xml:space="preserve">Descriptions restate what sources say. Undefined terms are quoted, not interpreted; see Notes and Open Questions.</t>
  </si>
  <si>
    <t xml:space="preserve">Build roadmap columns</t>
  </si>
  <si>
    <t xml:space="preserve">'ROW Features' columns Z-AC: Release (R01-R35), Release theme, Build sequence (unique 1-323), Depends on. See the 'Release Key' sheet for release themes, rules and assumptions.</t>
  </si>
  <si>
    <t xml:space="preserve">New requirements (ROW-233 to ROW-323)</t>
  </si>
  <si>
    <t xml:space="preserve">91 process-step requirements added from New_Requirements.md (rows 236-326 of 'ROW Features'). They come from process sources (SOPs, DOT manual sections, lifecycle stages), not from the six RFP/RFI documents, so columns M-R are blank, priority is 'Stated – no priority', consensus tier is Tier 6, and Aurigo coverage is 'Not assessed (new)'. Evidence is in 'Source references' and on the Traceability sheet (rows marked source code NEW).</t>
  </si>
  <si>
    <t xml:space="preserve">ROW BUILD ROADMAP – RELEASE KEY</t>
  </si>
  <si>
    <t xml:space="preserve">Release and Build sequence are on the 'ROW Features' sheet (columns Z-AC). They are judgment assignments, not formulas. Each release is a thin, usable slice; sequence is unique (1-323).</t>
  </si>
  <si>
    <t xml:space="preserve">Release</t>
  </si>
  <si>
    <t xml:space="preserve">Theme</t>
  </si>
  <si>
    <t xml:space="preserve"># features</t>
  </si>
  <si>
    <t xml:space="preserve">First seq</t>
  </si>
  <si>
    <t xml:space="preserve">Last seq</t>
  </si>
  <si>
    <t xml:space="preserve">Release in version 2 file</t>
  </si>
  <si>
    <t xml:space="preserve">Why it sits here (basis)</t>
  </si>
  <si>
    <t xml:space="preserve">R01</t>
  </si>
  <si>
    <t xml:space="preserve">Platform foundation &amp; UI standards</t>
  </si>
  <si>
    <t xml:space="preserve">Everything else is built on hosting, environments, the shared data model, role/field security, audit and the UI standards (accessibility, browsers, usability) that every later form must follow.</t>
  </si>
  <si>
    <t xml:space="preserve">R02</t>
  </si>
  <si>
    <t xml:space="preserve">Project &amp; parcel core</t>
  </si>
  <si>
    <t xml:space="preserve">First business slice: a ROW project and its parcels (System Design 3a: Project and Parcel Management comes first), plus the document repository, workflow engine and tasks every later module uses. Parent-tract and tax-parcel link (ROW-233) attaches to the parcel record.</t>
  </si>
  <si>
    <t xml:space="preserve">R03</t>
  </si>
  <si>
    <t xml:space="preserve">Owners, stakeholders &amp; parcel team</t>
  </si>
  <si>
    <t xml:space="preserve">Owners, interests, contacts and team roles hang off the parcel (System Design: M1 -&gt; M2). Demographics and tax data are captured here so payments and Title VI reporting have the data later.</t>
  </si>
  <si>
    <t xml:space="preserve">R04</t>
  </si>
  <si>
    <t xml:space="preserve">Project funding, parcel depth, acquisition plan &amp; map viewer</t>
  </si>
  <si>
    <t xml:space="preserve">Deepens the parcel and project records (funding, estimates, budgets, acquisition plan, interests by type, grouping, split/combine, batch updates) and adds the map viewer that appraisal, utilities and inventory reuse.</t>
  </si>
  <si>
    <t xml:space="preserve">R05</t>
  </si>
  <si>
    <t xml:space="preserve">Templates, correspondence &amp; e-signature</t>
  </si>
  <si>
    <t xml:space="preserve">Templates, mail merge and e-signature are needed by hearing notices and title reports (R07), notices to owners (R06), offers (R11) and relocation notices (R18), so they come first.</t>
  </si>
  <si>
    <t xml:space="preserve">R06</t>
  </si>
  <si>
    <t xml:space="preserve">Acquisition rules, authorization, compliance &amp; alerts</t>
  </si>
  <si>
    <t xml:space="preserve">System Design: the Acquisition Process and Compliance Engine governs Acquisition and Negotiation. ROW authorization, site visit, Notice to Owner and the plan-review gate belong to the pre-acquisition steps in Diagram 1. Alerts are built here because deadline and next-action reminders depend on them.</t>
  </si>
  <si>
    <t xml:space="preserve">R07</t>
  </si>
  <si>
    <t xml:space="preserve">Title &amp; abstraction</t>
  </si>
  <si>
    <t xml:space="preserve">Title and survey both feed appraisal (System Design: M3 and M4 -&gt; M5). Title ordering is built before title research. Uses document versioning, role-based confidential access (R01) and mail merge (R05).</t>
  </si>
  <si>
    <t xml:space="preserve">R08</t>
  </si>
  <si>
    <t xml:space="preserve">Survey, plans &amp; appraisal package</t>
  </si>
  <si>
    <t xml:space="preserve">Survey data and CAD files feed appraisal (System Design: M4 -&gt; M5). GIS quality check, legal/sketch review and appraisal package assembly close out Diagram 2 and hand the parcel to appraisal.</t>
  </si>
  <si>
    <t xml:space="preserve">R09</t>
  </si>
  <si>
    <t xml:space="preserve">Appraisal core  |  Utilities core (parallel track)</t>
  </si>
  <si>
    <t xml:space="preserve">Appraisal intake needs the assembled package (R08). Utilities run in parallel with acquisition per your direction; the utilities core needs only project, parcel, tasks and documents.</t>
  </si>
  <si>
    <t xml:space="preserve">R10</t>
  </si>
  <si>
    <t xml:space="preserve">Appraisal depth  |  Utilities agreements &amp; reimbursement (parallel track)</t>
  </si>
  <si>
    <t xml:space="preserve">Appraiser management, report writing, specialty reports and comparable-sales data build on the appraisal core and the R04 map viewer. On the utilities track: prior rights, cost authorization, relocation notices, estimate review, Buy America and milestones build on the utilities core and its agreements.</t>
  </si>
  <si>
    <t xml:space="preserve">R11</t>
  </si>
  <si>
    <t xml:space="preserve">Pre-offer review, offers &amp; negotiation</t>
  </si>
  <si>
    <t xml:space="preserve">Offers start only after just compensation is approved (R09). Management review, funding check and approval thresholds come before the first offer. Impasse data created here feeds condemnation (R21).</t>
  </si>
  <si>
    <t xml:space="preserve">R12</t>
  </si>
  <si>
    <t xml:space="preserve">Agreements, easements &amp; alternative acquisition paths</t>
  </si>
  <si>
    <t xml:space="preserve">Agreement approval, subordination letters, easements, key turnover and environmental site assessments follow the settlement (R11). Donation, developer-conveyance and early-acquisition paths reuse the configurable acquisition workflow (ROW-071).</t>
  </si>
  <si>
    <t xml:space="preserve">R13</t>
  </si>
  <si>
    <t xml:space="preserve">Payments &amp; compensation (tracked in-system)</t>
  </si>
  <si>
    <t xml:space="preserve">Payments follow agreements and settlements (System Design: M6 -&gt; M9). Per your direction, payments are tracked in the system first; finance-system integration is R33. Request for Funds, fund reservation, title-company invoices and possession/incentive payments sit on the payment engine.</t>
  </si>
  <si>
    <t xml:space="preserve">R14</t>
  </si>
  <si>
    <t xml:space="preserve">Closing, recording &amp; parcel closure  |  Utilities delivery (parallel track)</t>
  </si>
  <si>
    <t xml:space="preserve">new</t>
  </si>
  <si>
    <t xml:space="preserve">Closing claims, closing package, recording and the Parcel Closed status finish the standard acquisition. On the utilities track, notice to proceed, change orders and invoicing need the payment engine (R13); utility clearance runs in parallel.</t>
  </si>
  <si>
    <t xml:space="preserve">R15</t>
  </si>
  <si>
    <t xml:space="preserve">Search, dashboards &amp; core reports</t>
  </si>
  <si>
    <t xml:space="preserve">Core operational reporting over the data built in R02-R14: search, dashboards, ad-hoc reports, exports, status and acquisition reports.</t>
  </si>
  <si>
    <t xml:space="preserve">R16</t>
  </si>
  <si>
    <t xml:space="preserve">Data import &amp; legacy migration</t>
  </si>
  <si>
    <t xml:space="preserve">Per your direction, migration and import tools are sequenced before the first customer go-live. They need the project, parcel and owner entities (R02-R03) to map into.</t>
  </si>
  <si>
    <t xml:space="preserve">R17</t>
  </si>
  <si>
    <t xml:space="preserve">Production readiness &amp; go-live support</t>
  </si>
  <si>
    <t xml:space="preserve">Security controls, backup/DR, monitoring, performance, UAT/project delivery, training and support. Earliest sensible customer go-live point (standard acquisition from project through closing); see Assumptions.</t>
  </si>
  <si>
    <t xml:space="preserve">R18</t>
  </si>
  <si>
    <t xml:space="preserve">Relocation case, planning &amp; notices</t>
  </si>
  <si>
    <t xml:space="preserve">Relocation follows the signed agreement (System Design: M6 -&gt; M7). Planning study, General Information Notice, advisory interview, case, questionnaires, claims and notices.</t>
  </si>
  <si>
    <t xml:space="preserve">R19</t>
  </si>
  <si>
    <t xml:space="preserve">Replacement housing, eligibility &amp; payment calculations</t>
  </si>
  <si>
    <t xml:space="preserve">R16 / R17</t>
  </si>
  <si>
    <t xml:space="preserve">Replacement-housing study, comparable-dwelling notice, decent-safe-sanitary inspection, eligibility exceptions and the payment calculations.</t>
  </si>
  <si>
    <t xml:space="preserve">R20</t>
  </si>
  <si>
    <t xml:space="preserve">Relocation payments, appeals &amp; reports</t>
  </si>
  <si>
    <t xml:space="preserve">Last-resort housing, advance payments and payment approval need the R13 payment engine and the R19 calculations. Appeals and relocation reports close the slice.</t>
  </si>
  <si>
    <t xml:space="preserve">R21</t>
  </si>
  <si>
    <t xml:space="preserve">Condemnation case &amp; approvals</t>
  </si>
  <si>
    <t xml:space="preserve">Triggered by impasse (System Design: M6 -&gt; M8). Case management, approval chain, order-of-taking checklist and the document set.</t>
  </si>
  <si>
    <t xml:space="preserve">R22</t>
  </si>
  <si>
    <t xml:space="preserve">Condemnation possession, deposits &amp; court payments</t>
  </si>
  <si>
    <t xml:space="preserve">Order of possession, court deposit, owner withdrawal, settlement or stipulated judgment, trial report and court payments (need the R13 payment engine).</t>
  </si>
  <si>
    <t xml:space="preserve">R23</t>
  </si>
  <si>
    <t xml:space="preserve">Site clearance &amp; demolition</t>
  </si>
  <si>
    <t xml:space="preserve">After acquisition, relocation and (where needed) condemnation, the site is cleared: vacancy verification, hazardous-materials assessment, sale of improvements or demolition, clearance contract, environmental commitments and construction-ready documentation (Diagram 10).</t>
  </si>
  <si>
    <t xml:space="preserve">R24</t>
  </si>
  <si>
    <t xml:space="preserve">ROW certification &amp; release to construction</t>
  </si>
  <si>
    <t xml:space="preserve">Certification needs parcel closure (R14), utility clearance (R14) and site clearance (R23): status matrix, per-parcel checklist, certification document, internal and federal approval, then release to construction (Diagram 10).</t>
  </si>
  <si>
    <t xml:space="preserve">R25</t>
  </si>
  <si>
    <t xml:space="preserve">Property inventory &amp; handoff</t>
  </si>
  <si>
    <t xml:space="preserve">Property management begins after acquisition (System Design: ACQ -&gt; PROP). Inventory is the base for leases, inspections and disposal; activation follows the handoff.</t>
  </si>
  <si>
    <t xml:space="preserve">R26</t>
  </si>
  <si>
    <t xml:space="preserve">Leases, occupancy &amp; use agreements</t>
  </si>
  <si>
    <t xml:space="preserve">Depends on inventory (R25) and payments (R13). Rent-back (ROW-292) overlaps lease-back (ROW-083), so both are delivered together. Property-management valuations are placed here because they relate to leased property.</t>
  </si>
  <si>
    <t xml:space="preserve">R27</t>
  </si>
  <si>
    <t xml:space="preserve">Inspections (web) &amp; mobile field access (parallel)</t>
  </si>
  <si>
    <t xml:space="preserve">Per your direction, web inspection and mobile/field access are built in parallel. Photo storage is included because inspections need it. Improvement inventory and vacant-property security follow.</t>
  </si>
  <si>
    <t xml:space="preserve">R28</t>
  </si>
  <si>
    <t xml:space="preserve">Surplus declaration &amp; disposal approval</t>
  </si>
  <si>
    <t xml:space="preserve">Review committee, declaration, legal description and sketch, minimum-bid rules, environmental clearance and board approval precede any disposal.</t>
  </si>
  <si>
    <t xml:space="preserve">R29</t>
  </si>
  <si>
    <t xml:space="preserve">Disposal &amp; sales</t>
  </si>
  <si>
    <t xml:space="preserve">Disposal methods and sales (ROW-301 and ROW-140 overlap and are delivered together), then compliance, financials and inventory reports.</t>
  </si>
  <si>
    <t xml:space="preserve">R30</t>
  </si>
  <si>
    <t xml:space="preserve">Regulatory reporting &amp; compliance certification</t>
  </si>
  <si>
    <t xml:space="preserve">FHWA, Title VI and IRS 1099 reports need data from payments, relocation and owners. Federal reimbursement billing needs authorized amount and federal share (ROW-238) and expenditure tracking (ROW-113). Per your direction, certifications are not a go-live gate.</t>
  </si>
  <si>
    <t xml:space="preserve">R31</t>
  </si>
  <si>
    <t xml:space="preserve">Advanced analytics &amp; report portal</t>
  </si>
  <si>
    <t xml:space="preserve">KPIs, forecasting, charts, report portal and ODBC access, built on top of the R15 reporting layer.</t>
  </si>
  <si>
    <t xml:space="preserve">R32</t>
  </si>
  <si>
    <t xml:space="preserve">External portals, public access &amp; records</t>
  </si>
  <si>
    <t xml:space="preserve">Per your direction, external portals come after the internal workflows they expose. Retention and public-records requests are included.</t>
  </si>
  <si>
    <t xml:space="preserve">R33</t>
  </si>
  <si>
    <t xml:space="preserve">Finance &amp; enterprise integration</t>
  </si>
  <si>
    <t xml:space="preserve">Per your direction, in-system payment tracking (R13) comes first. The open API is built first, then finance and enterprise connections. ROW-111 and ROW-211 overlap and are delivered together.</t>
  </si>
  <si>
    <t xml:space="preserve">R34</t>
  </si>
  <si>
    <t xml:space="preserve">Document, mail, map &amp; survey integrations</t>
  </si>
  <si>
    <t xml:space="preserve">External services (document system, Outlook, USPS, external map providers, survey software, relocation calculators, market rent) are connected after the internal features they extend.</t>
  </si>
  <si>
    <t xml:space="preserve">R35</t>
  </si>
  <si>
    <t xml:space="preserve">Rail &amp; transit (NH-specific)</t>
  </si>
  <si>
    <t xml:space="preserve">Per your direction, NH-specific rail items go last. NH has not defined several of its named systems (see Open Questions #5-6).</t>
  </si>
  <si>
    <t xml:space="preserve">Total</t>
  </si>
  <si>
    <t xml:space="preserve">Rules applied</t>
  </si>
  <si>
    <t xml:space="preserve">1. Dependency first: a feature is never built before something it needs. Every 'Depends on' ID has a lower build sequence than the feature itself.</t>
  </si>
  <si>
    <t xml:space="preserve">2. Within the same dependency level, existing features are ordered by Consensus tier (sources rating Must, then number of sources). The 91 new features (ROW-233 to ROW-323) have no tier, so they follow existing features at the same level and are then ordered by ID.</t>
  </si>
  <si>
    <t xml:space="preserve">3. Nothing is treated as already built: Aurigo coverage columns were NOT used for ordering (your direction: fresh start, existing items are to-do).</t>
  </si>
  <si>
    <t xml:space="preserve">4. Thin slices: each release is a coherent set a user group can use. Process order follows the System Design arrows and the numbered process diagrams (project/parcel -&gt; owners/title/survey -&gt; appraisal -&gt; acquisition -&gt; payments -&gt; relocation / condemnation -&gt; clearance -&gt; certification; property management after acquisition).</t>
  </si>
  <si>
    <t xml:space="preserve">5. Parallel tracks (your direction): Utilities run alongside appraisal and payments (R09, R10, R14); web inspection and mobile/field access are delivered together (R27).</t>
  </si>
  <si>
    <t xml:space="preserve">6. Last (your direction): external portals (R32), integrations (R33-R34) and NH-specific rail items (R35). Payments are tracked in-system first (R13); finance integration is R33.</t>
  </si>
  <si>
    <t xml:space="preserve">7. Overlapping features are delivered in the same release, not merged or flagged: ROW-111 and ROW-211 (R33); ROW-058, ROW-107, ROW-108 and ROW-243 (R13); ROW-083 and ROW-292 (R26); ROW-140 and ROW-301 (R29); ROW-139 and ROW-296 (R28).</t>
  </si>
  <si>
    <t xml:space="preserve">8. Not used for ordering (your direction): deadlines and security-certification gating. Certifications (ROW-217) sit in R30.</t>
  </si>
  <si>
    <t xml:space="preserve">Assumptions to confirm</t>
  </si>
  <si>
    <t xml:space="preserve">A. First customer go-live candidate = after R17 (standard acquisition from project through closing and parcel closure, with data migration and production readiness). Relocation, condemnation, clearance, certification and property management follow. You did not specify a go-live point; move it if needed.</t>
  </si>
  <si>
    <t xml:space="preserve">B. System Design shows title and survey feeding appraisal, so appraisal (R09) comes after R07-R08 even though that delays the first end-to-end slice.</t>
  </si>
  <si>
    <t xml:space="preserve">C. ROW-030 (ROW plan requests) is a Title &amp; Abstraction item but opens R07, matching Diagram 2.</t>
  </si>
  <si>
    <t xml:space="preserve">D. Roles marked 'inferred' in the process diagrams are unconfirmed (your direction: not blocking).</t>
  </si>
  <si>
    <t xml:space="preserve">E. ROW-310 (railroad project type and crossing funding, from NDOT) is placed with utilities in R10; ROW-145 (NH railroad crossing agreements) stays in R35. They overlap only partly, so they were not placed together.</t>
  </si>
  <si>
    <t xml:space="preserve">F. ROW Certification (R24) is placed before property management (R25) because certification is a pre-construction step in the sources (Lifecycle Stage 9), while property management handles acquired property afterwards (System Design: ACQ -&gt; PROP). Move it if your lifecycle differs.</t>
  </si>
  <si>
    <t xml:space="preserve">G. Release numbers changed from version 2 because new features needed new slices. Column F shows the version 2 release for each current release.</t>
  </si>
  <si>
    <t xml:space="preserve">ROW MODULE FEATURES – built from ROW / real-estate documents only. City/county permitting &amp; street-data requirements are on the separate 'City-County ROW Use' sheet.</t>
  </si>
  <si>
    <t xml:space="preserve">Feature ID</t>
  </si>
  <si>
    <t xml:space="preserve">Domain</t>
  </si>
  <si>
    <t xml:space="preserve">Category</t>
  </si>
  <si>
    <t xml:space="preserve">Sub-category</t>
  </si>
  <si>
    <t xml:space="preserve">Feature</t>
  </si>
  <si>
    <t xml:space="preserve">Description (plain English)</t>
  </si>
  <si>
    <t xml:space="preserve">Requirement type</t>
  </si>
  <si>
    <t xml:space="preserve">Consolidated priority</t>
  </si>
  <si>
    <t xml:space="preserve"># sources</t>
  </si>
  <si>
    <t xml:space="preserve"># sources rating Must</t>
  </si>
  <si>
    <t xml:space="preserve">Breadth</t>
  </si>
  <si>
    <t xml:space="preserve">NH</t>
  </si>
  <si>
    <t xml:space="preserve">ID</t>
  </si>
  <si>
    <t xml:space="preserve">NM</t>
  </si>
  <si>
    <t xml:space="preserve">WA</t>
  </si>
  <si>
    <t xml:space="preserve">ATX</t>
  </si>
  <si>
    <t xml:space="preserve">OSC</t>
  </si>
  <si>
    <t xml:space="preserve">Source references (document – location [source's own priority label])</t>
  </si>
  <si>
    <t xml:space="preserve">Regulation / standard cited</t>
  </si>
  <si>
    <t xml:space="preserve">Named systems / tools</t>
  </si>
  <si>
    <t xml:space="preserve">Aurigo ROW Pro coverage (provided docs only)</t>
  </si>
  <si>
    <t xml:space="preserve">Aurigo evidence</t>
  </si>
  <si>
    <t xml:space="preserve">Notes / open questions</t>
  </si>
  <si>
    <t xml:space="preserve">Also asked by city/county docs (not counted)</t>
  </si>
  <si>
    <t xml:space="preserve">Release theme</t>
  </si>
  <si>
    <t xml:space="preserve">Build sequence (1 = build first)</t>
  </si>
  <si>
    <t xml:space="preserve">Depends on (feature IDs built earlier)</t>
  </si>
  <si>
    <t xml:space="preserve">ROW-001</t>
  </si>
  <si>
    <t xml:space="preserve">Land Acquisition &amp; Relocation</t>
  </si>
  <si>
    <t xml:space="preserve">Project &amp; Parcel Setup</t>
  </si>
  <si>
    <t xml:space="preserve">Project record</t>
  </si>
  <si>
    <t xml:space="preserve">ROW project set-up with unique project ID</t>
  </si>
  <si>
    <t xml:space="preserve">Create a ROW project record with a unique project number and descriptive data (location, description, project/parcel information). The Aurigo demo script notes the number can be auto-generated or pulled from another system.</t>
  </si>
  <si>
    <t xml:space="preserve">Functional</t>
  </si>
  <si>
    <t xml:space="preserve">M</t>
  </si>
  <si>
    <t xml:space="preserve">E</t>
  </si>
  <si>
    <t xml:space="preserve">Idaho ITD RFP Event 85 – ROWMS: §9 Scope of Work ['must' requirement (§9)]
WSDOT RFI (2023): Perf. Requirements – Baseline System Capabilities [RFI – performance requirement list (no priority given)]</t>
  </si>
  <si>
    <t xml:space="preserve">Covered (SOW)</t>
  </si>
  <si>
    <t xml:space="preserve">Pro SOW: 'Project/Land Entity', 'Project Location'; Demo: ROW Project Details form</t>
  </si>
  <si>
    <t xml:space="preserve">ROW-084, ROW-212</t>
  </si>
  <si>
    <t xml:space="preserve">ROW-002</t>
  </si>
  <si>
    <t xml:space="preserve">Configurable multi-level Work Breakdown Structure (WBS)</t>
  </si>
  <si>
    <t xml:space="preserve">Break a project into configurable levels (example in the source: project, phase, task, activity, sub-activity, line item, category, parcel, sub-parcel, county, city).</t>
  </si>
  <si>
    <t xml:space="preserve">Idaho ITD RFP Event 85 – ROWMS: §9 Scope of Work ['must' requirement (§9)]</t>
  </si>
  <si>
    <t xml:space="preserve">Not evidenced</t>
  </si>
  <si>
    <t xml:space="preserve">No matching item found in the provided Aurigo documents (SOW, demo script, deck, library list).</t>
  </si>
  <si>
    <t xml:space="preserve">ROW-003</t>
  </si>
  <si>
    <t xml:space="preserve">Project tracking by region / district</t>
  </si>
  <si>
    <t xml:space="preserve">Track projects by the agency's regions or districts and filter/report by region or district.</t>
  </si>
  <si>
    <t xml:space="preserve">NH DOT ROWMS &amp; Rail Requirements: Tab 7 Administrative – row 19 [Required / High]; Tab 6 Property Mgmt – row 20 [Required / High]
Idaho ITD RFP Event 85 – ROWMS: §9 Management Reporting - General ['must' requirement (§9)]
WSDOT RFI (2023): Perf. Requirements – Baseline System Capabilities [RFI – performance requirement list (no priority given)]</t>
  </si>
  <si>
    <t xml:space="preserve">Filtering by region/district appears in NH (Admin tab and Property Mgmt reporting) and Idaho (dashboard district filter).</t>
  </si>
  <si>
    <t xml:space="preserve">ROW-004</t>
  </si>
  <si>
    <t xml:space="preserve">Project funding &amp; estimate capture</t>
  </si>
  <si>
    <t xml:space="preserve">Record funding source and amount, design estimate and current estimate, and construction dates (letting, plan turn-in, projected construction start/completion) on the ROW project.</t>
  </si>
  <si>
    <t xml:space="preserve">Platform / demo only</t>
  </si>
  <si>
    <t xml:space="preserve">Demo script: ROW Project Details form (Funding Information, Design/Current Estimate, Construction Details)</t>
  </si>
  <si>
    <t xml:space="preserve">Aurigo-only: seen in the demo script, not requested in any provided RFP/RFI as a stand-alone item.</t>
  </si>
  <si>
    <t xml:space="preserve">ROW-005</t>
  </si>
  <si>
    <t xml:space="preserve">Parcel record</t>
  </si>
  <si>
    <t xml:space="preserve">Parcel record and parcel-level case tracking</t>
  </si>
  <si>
    <t xml:space="preserve">Manage each parcel as its own record (parcel number, legal description, address, area, type of property, tenant, status) and track the acquisition case at parcel level through its milestones. NH adds that data entered once should cascade to relocation needs.</t>
  </si>
  <si>
    <t xml:space="preserve">NH DOT ROWMS &amp; Rail Requirements: Tab 2 ROW Agent – row 4 [Required / High]; Tab 6 Property Mgmt – row 3 [Required / High]
Idaho ITD RFP Event 85 – ROWMS: §9 Project Information Requirements ['must' requirement (§9)]
WSDOT RFI (2023): Perf. Requirements – Property Acquisition &amp; Relocation Services [RFI – performance requirement list (no priority given)]
Austin Transit Partnership RFQ (2025): Scope – IV. Data Requirements [RFQ – requirement listed in scope]</t>
  </si>
  <si>
    <t xml:space="preserve">Pro SOW: 'Parcel', 'Parcel Location', 'Design Details'; Demo: Parcel Details form (status auto-updates from child forms)</t>
  </si>
  <si>
    <t xml:space="preserve">ROW-006</t>
  </si>
  <si>
    <t xml:space="preserve">Parcel grouping under projects / corridors with roll-up</t>
  </si>
  <si>
    <t xml:space="preserve">Group parcels under projects or corridors and roll their data up for reporting.</t>
  </si>
  <si>
    <t xml:space="preserve">NH DOT ROWMS &amp; Rail Requirements: Tab 2 ROW Agent – row 6 [Required / High]</t>
  </si>
  <si>
    <t xml:space="preserve">Partial</t>
  </si>
  <si>
    <t xml:space="preserve">Demo: parcels sit under the ROW Project navigation tree; corridor grouping not evidenced</t>
  </si>
  <si>
    <t xml:space="preserve">ROW-007</t>
  </si>
  <si>
    <t xml:space="preserve">Combine / split parcels and remnant (uneconomic remainder) creation</t>
  </si>
  <si>
    <t xml:space="preserve">Combine or split parcel records; flag a parcel or part of one as a potential uneconomic remnant/remainder and assign it a new parcel number and ID. NH also asks to transfer post-construction remnants and classify them (e.g., surplus).</t>
  </si>
  <si>
    <t xml:space="preserve">S</t>
  </si>
  <si>
    <t xml:space="preserve">NH DOT ROWMS &amp; Rail Requirements: Tab 6 Property Mgmt – row 7 [Desired / Medium]
Idaho ITD RFP Event 85 – ROWMS: §9 Appraisal Requirements ['must' requirement (§9)]</t>
  </si>
  <si>
    <t xml:space="preserve">Pro SOW: 'Combine/Split Parcels' (ROW-level core process)</t>
  </si>
  <si>
    <t xml:space="preserve">ROW-008</t>
  </si>
  <si>
    <t xml:space="preserve">Batch updates for multi-parcel projects</t>
  </si>
  <si>
    <t xml:space="preserve">Update many parcels at once (multi-parcel projects or corridor-wide additions) and support batch data entry.</t>
  </si>
  <si>
    <t xml:space="preserve">NH DOT ROWMS &amp; Rail Requirements: Tab 6 Property Mgmt – row 6 [Required / High]; Tab 7 Administrative – row 29 [Required / High]</t>
  </si>
  <si>
    <t xml:space="preserve">ROW-009</t>
  </si>
  <si>
    <t xml:space="preserve">Parcel synopsis / summary view and print</t>
  </si>
  <si>
    <t xml:space="preserve">Display or print a one-page summary of a parcel (location, owners, contacts, leases, tenants, title information).</t>
  </si>
  <si>
    <t xml:space="preserve">Idaho ITD RFP Event 85 – ROWMS: §9 Negotiation and Acquisition Requirements ['must' requirement (§9)]</t>
  </si>
  <si>
    <t xml:space="preserve">Demo: Parcel form shows Grantee, Appraisal, Agreement and Easement summaries</t>
  </si>
  <si>
    <t xml:space="preserve">ROW-005, ROW-014</t>
  </si>
  <si>
    <t xml:space="preserve">ROW-010</t>
  </si>
  <si>
    <t xml:space="preserve">Parcel milestone tracking with dates</t>
  </si>
  <si>
    <t xml:space="preserve">Track acquisition milestones per parcel with scheduled/completed dates and status (e.g., title verification, offer delivery, negotiation, acceptance, closing).</t>
  </si>
  <si>
    <t xml:space="preserve">NH DOT ROWMS &amp; Rail Requirements: Tab 2 ROW Agent – row 13 [Required / High]
Austin Transit Partnership RFQ (2025): Scope – A. Data Management [RFQ – requirement listed in scope]</t>
  </si>
  <si>
    <t xml:space="preserve">Demo: Parcel Milestones grid and Agreement Milestones grid</t>
  </si>
  <si>
    <t xml:space="preserve">ROW-011</t>
  </si>
  <si>
    <t xml:space="preserve">Configurable parcel attributes</t>
  </si>
  <si>
    <t xml:space="preserve">Attach typed attributes with status and comments to a parcel, chosen from an admin-managed library.</t>
  </si>
  <si>
    <t xml:space="preserve">Demo: Parcel Attributes grid; Pro SOW libraries 'Attribute Type', 'Attribute Status'</t>
  </si>
  <si>
    <t xml:space="preserve">Aurigo-only.</t>
  </si>
  <si>
    <t xml:space="preserve">ROW-012</t>
  </si>
  <si>
    <t xml:space="preserve">Cost &amp; budget</t>
  </si>
  <si>
    <t xml:space="preserve">Project / parcel cost estimating with version history</t>
  </si>
  <si>
    <t xml:space="preserve">Enter and track cost estimates by project/parcel across cost types (land by use, site improvements, relocation, indirect costs such as appraisal, negotiation, closing, title insurance). Changing an estimate must keep the original and show prior versions. ATX also lists estimated vs. actual costs (property, closing, condemnation).</t>
  </si>
  <si>
    <t xml:space="preserve">Idaho ITD RFP Event 85 – ROWMS: §9 Project Information Requirements ['must' requirement (§9)] ×2
Austin Transit Partnership RFQ (2025): Scope – A. Data Management [RFQ – requirement listed in scope]</t>
  </si>
  <si>
    <t xml:space="preserve">Demo: Design/Current Estimate fields; SOW dashboards 'ROW - Project Cost Summary'. Estimate versioning not evidenced</t>
  </si>
  <si>
    <t xml:space="preserve">ROW-013</t>
  </si>
  <si>
    <t xml:space="preserve">ROW budget and audit support (annual budgets)</t>
  </si>
  <si>
    <t xml:space="preserve">Support fiscal planning for ROW acquisitions and utility costs, including preparing annual budgets and adjustments.</t>
  </si>
  <si>
    <t xml:space="preserve">NMDOT RFP 06-0100: App. A §1 Introduction [SOW scope item / RFP purpose]</t>
  </si>
  <si>
    <t xml:space="preserve">Only a one-line description in NM Appendix A; no detail on required functions.</t>
  </si>
  <si>
    <t xml:space="preserve">ROW-014</t>
  </si>
  <si>
    <t xml:space="preserve">Ownership &amp; Stakeholders</t>
  </si>
  <si>
    <t xml:space="preserve">Owners</t>
  </si>
  <si>
    <t xml:space="preserve">Owner and ownership-interest management (multiple interests per parcel)</t>
  </si>
  <si>
    <t xml:space="preserve">Record owners and every interest in a parcel (fee, easement, tenant, lender, trustee, life estate, owner representative, etc.) with names, vesting-deed legal name, addresses and phone/email.</t>
  </si>
  <si>
    <t xml:space="preserve">NH DOT ROWMS &amp; Rail Requirements: Tab 2 ROW Agent – row 5 [Required / High]
Idaho ITD RFP Event 85 – ROWMS: §9 Project Information Requirements ['must' requirement (§9)] ×2
WSDOT RFI (2023): Perf. Requirements – Property Acquisition &amp; Relocation Services [RFI – performance requirement list (no priority given)]
Austin Transit Partnership RFQ (2025): Scope – IV. Data Requirements [RFQ – requirement listed in scope]</t>
  </si>
  <si>
    <t xml:space="preserve">Pro SOW: 'Ownership Interest'; Demo: Ownership Interests form (owner type, addresses, contacts, representatives)</t>
  </si>
  <si>
    <t xml:space="preserve">ROW-015</t>
  </si>
  <si>
    <t xml:space="preserve">Multiple contacts per parcel (attorneys, banks, designees)</t>
  </si>
  <si>
    <t xml:space="preserve">Manage several contacts per parcel, such as owners, attorneys, banks and owner designees.</t>
  </si>
  <si>
    <t xml:space="preserve">NH DOT ROWMS &amp; Rail Requirements: Tab 2 ROW Agent – row 40 [Required / High]</t>
  </si>
  <si>
    <t xml:space="preserve">Demo: 'Representatives and Associates' grid on Ownership form</t>
  </si>
  <si>
    <t xml:space="preserve">ROW-016</t>
  </si>
  <si>
    <t xml:space="preserve">Tenant / occupant information</t>
  </si>
  <si>
    <t xml:space="preserve">Store tenant name and contacts, insurance, evidence of a lease and lease details for parcels.</t>
  </si>
  <si>
    <t xml:space="preserve">Idaho ITD RFP Event 85 – ROWMS: §9 Project Information Requirements ['must' requirement (§9)]
Austin Transit Partnership RFQ (2025): Scope – IV. Data Requirements [RFQ – requirement listed in scope]</t>
  </si>
  <si>
    <t xml:space="preserve">Ownership form captures owners/representatives; tenant lease details not evidenced</t>
  </si>
  <si>
    <t xml:space="preserve">ROW-017</t>
  </si>
  <si>
    <t xml:space="preserve">Abutters / interested-parties list</t>
  </si>
  <si>
    <t xml:space="preserve">Build a comprehensive list of abutters and all parties of interest for a parcel; the same data feeds hearing notices.</t>
  </si>
  <si>
    <t xml:space="preserve">NH DOT ROWMS &amp; Rail Requirements: Tab 4 Land Titles – row 10 [Required / High]; Tab 7 Administrative – row 2 [Required / High]</t>
  </si>
  <si>
    <t xml:space="preserve">ROW-018</t>
  </si>
  <si>
    <t xml:space="preserve">Tax identification capture (W-9 / 1099) for payees</t>
  </si>
  <si>
    <t xml:space="preserve">Hold payee tax details (1099, W-9) on the owner record and securely collect information needed for IRS reporting.</t>
  </si>
  <si>
    <t xml:space="preserve">NH DOT ROWMS &amp; Rail Requirements: Tab 7 Administrative – row 6 [Required / High]</t>
  </si>
  <si>
    <t xml:space="preserve">IRS 1099 / W-9</t>
  </si>
  <si>
    <t xml:space="preserve">Demo: Ownership form &gt; Tax Information (1099, W-9)</t>
  </si>
  <si>
    <t xml:space="preserve">ROW-019</t>
  </si>
  <si>
    <t xml:space="preserve">Team</t>
  </si>
  <si>
    <t xml:space="preserve">Team / role assignment per parcel</t>
  </si>
  <si>
    <t xml:space="preserve">Assign people to roles on each parcel (appraisal coordinator, appraiser, reviewer, counsel, negotiator in-house or consultant, relocation agent, project lead, FHWA, etc.).</t>
  </si>
  <si>
    <t xml:space="preserve">NH DOT ROWMS &amp; Rail Requirements: Tab 2 ROW Agent – row 4 [Required / High]
Idaho ITD RFP Event 85 – ROWMS: §9 Project Information Requirements ['must' requirement (§9)]</t>
  </si>
  <si>
    <t xml:space="preserve">Demo: Agent Details grid; SOW library 'Agent Type'</t>
  </si>
  <si>
    <t xml:space="preserve">ROW-014, ROW-212</t>
  </si>
  <si>
    <t xml:space="preserve">ROW-020</t>
  </si>
  <si>
    <t xml:space="preserve">Communication</t>
  </si>
  <si>
    <t xml:space="preserve">Communication / negotiation diary log</t>
  </si>
  <si>
    <t xml:space="preserve">Log calls, meetings, mailings, emails and contact attempts per parcel (who, when, how, what was promised or answered); NH asks that negotiation conversations be documented automatically; a printable summary of diary entries per parcel is also requested.</t>
  </si>
  <si>
    <t xml:space="preserve">NH DOT ROWMS &amp; Rail Requirements: Tab 2 ROW Agent – row 19 [Required / High]; Tab 2 ROW Agent – row 41 [Required / High]; Tab 9 Reports – row 20 [Required / High]
Idaho ITD RFP Event 85 – ROWMS: §9 Negotiation and Acquisition Requirements ['must' requirement (§9)]
NMDOT RFP 06-0100: App. A §1 Introduction [SOW scope item / RFP purpose]
Austin Transit Partnership RFQ (2025): Scope – A. Data Management [RFQ – requirement listed in scope]</t>
  </si>
  <si>
    <t xml:space="preserve">Original SOW: 'Agent Log' (configurable process); Demo: Agent Notes / Parcel Notes</t>
  </si>
  <si>
    <t xml:space="preserve">'AUTO document' in NH T2!R19 is not explained in the source; I read it as automatic logging of contact events but this is unconfirmed.</t>
  </si>
  <si>
    <t xml:space="preserve">ROW-021</t>
  </si>
  <si>
    <t xml:space="preserve">Parcel notes with permission-controlled create/delete</t>
  </si>
  <si>
    <t xml:space="preserve">Create and delete notes on a record according to permissions.</t>
  </si>
  <si>
    <t xml:space="preserve">NH DOT ROWMS &amp; Rail Requirements: Tab 9 Reports – row 9 [Required / High]</t>
  </si>
  <si>
    <t xml:space="preserve">Demo: Parcel Notes section (made by / made on / status)</t>
  </si>
  <si>
    <t xml:space="preserve">ROW-005, ROW-213</t>
  </si>
  <si>
    <t xml:space="preserve">ROW-022</t>
  </si>
  <si>
    <t xml:space="preserve">Demographics</t>
  </si>
  <si>
    <t xml:space="preserve">Owner / displacee demographic capture for civil-rights statistics</t>
  </si>
  <si>
    <t xml:space="preserve">Capture sex and ethnicity (minority / non-minority / female) of owners and displacees for statistical reporting.</t>
  </si>
  <si>
    <t xml:space="preserve">Idaho ITD RFP Event 85 – ROWMS: §9 Negotiation and Acquisition Requirements ['must' requirement (§9)]; §9 Relocation Requirements ['must' requirement (§9)]</t>
  </si>
  <si>
    <t xml:space="preserve">Title VI (civil rights) reporting</t>
  </si>
  <si>
    <t xml:space="preserve">ROW-023</t>
  </si>
  <si>
    <t xml:space="preserve">Title &amp; Abstraction</t>
  </si>
  <si>
    <t xml:space="preserve">Title records</t>
  </si>
  <si>
    <t xml:space="preserve">Chain of title and historical ownership</t>
  </si>
  <si>
    <t xml:space="preserve">Manage chain of title and historical ownership records; identify landownership and existing encumbrances; record title information and title-report specifics on acquisitions, including liens and mortgages.</t>
  </si>
  <si>
    <t xml:space="preserve">NH DOT ROWMS &amp; Rail Requirements: Tab 4 Land Titles – row 3 [Required / High]
NMDOT RFP 06-0100: App. A §1 Introduction [SOW scope item / RFP purpose]
WSDOT RFI (2023): Perf. Requirements – Property Acquisition &amp; Relocation Services [RFI – performance requirement list (no priority given)]
Austin Transit Partnership RFQ (2025): Scope – IV. Data Requirements [RFQ – requirement listed in scope]</t>
  </si>
  <si>
    <t xml:space="preserve">Pro SOW: 'Title Search &amp; Due Diligence' (core process)</t>
  </si>
  <si>
    <t xml:space="preserve">ROW-005, ROW-014, ROW-157</t>
  </si>
  <si>
    <t xml:space="preserve">ROW-024</t>
  </si>
  <si>
    <t xml:space="preserve">Title defect / encumbrance tracking with alerts</t>
  </si>
  <si>
    <t xml:space="preserve">Track and flag/alert on title defects, encumbrances, easements and unresolved issues.</t>
  </si>
  <si>
    <t xml:space="preserve">NH DOT ROWMS &amp; Rail Requirements: Tab 4 Land Titles – row 4 [Required / High]</t>
  </si>
  <si>
    <t xml:space="preserve">ROW-025</t>
  </si>
  <si>
    <t xml:space="preserve">Title commitment details</t>
  </si>
  <si>
    <t xml:space="preserve">Store title commitment number and expiration date as parcel data.</t>
  </si>
  <si>
    <t xml:space="preserve">Idaho ITD RFP Event 85 – ROWMS: §9 Project Information Requirements ['must' requirement (§9)]</t>
  </si>
  <si>
    <t xml:space="preserve">ROW-026</t>
  </si>
  <si>
    <t xml:space="preserve">Link and search title documents (deeds, plats, surveys, title reports)</t>
  </si>
  <si>
    <t xml:space="preserve">Store and link scanned deeds, plats, surveys and title reports to parcels/tracts; search by owner name, map/lot number, deed reference or parcel ID, including by GIS.</t>
  </si>
  <si>
    <t xml:space="preserve">NH DOT ROWMS &amp; Rail Requirements: Tab 4 Land Titles – row 5 [Required / High]; Tab 4 Land Titles – row 12 [Required / High]; Tab 8 Rail &amp; Transit – row 19 [Required / High]; Tab 8 Rail &amp; Transit – row 20 [Required / High]</t>
  </si>
  <si>
    <t xml:space="preserve">ROW-023, ROW-158</t>
  </si>
  <si>
    <t xml:space="preserve">ROW-027</t>
  </si>
  <si>
    <t xml:space="preserve">Title versioning and update flags through project lifecycle</t>
  </si>
  <si>
    <t xml:space="preserve">Track versions of modified title research and flag titles that must be updated as a project moves (e.g., preliminary to final); accept update requests.</t>
  </si>
  <si>
    <t xml:space="preserve">NH DOT ROWMS &amp; Rail Requirements: Tab 4 Land Titles – row 18 [Required / High]; Tab 4 Land Titles – row 20 [Required / High]</t>
  </si>
  <si>
    <t xml:space="preserve">ROW-023, ROW-160</t>
  </si>
  <si>
    <t xml:space="preserve">ROW-028</t>
  </si>
  <si>
    <t xml:space="preserve">Confidential title information by role</t>
  </si>
  <si>
    <t xml:space="preserve">Restrict sensitive title information by role (example: only legal can see confidential opinions).</t>
  </si>
  <si>
    <t xml:space="preserve">NH DOT ROWMS &amp; Rail Requirements: Tab 4 Land Titles – row 21 [Required / High]</t>
  </si>
  <si>
    <t xml:space="preserve">ROW-023, ROW-213</t>
  </si>
  <si>
    <t xml:space="preserve">ROW-029</t>
  </si>
  <si>
    <t xml:space="preserve">Land-type classification and grouping</t>
  </si>
  <si>
    <t xml:space="preserve">Identify/group parcels by land type (private, condo, conservation, recreation, etc.).</t>
  </si>
  <si>
    <t xml:space="preserve">NH DOT ROWMS &amp; Rail Requirements: Tab 4 Land Titles – row 9 [Required / High]</t>
  </si>
  <si>
    <t xml:space="preserve">NH T4!R9 ends with 'Lchip et al.'; 'Lchip' is not defined in the file and I do not know what it refers to.</t>
  </si>
  <si>
    <t xml:space="preserve">ROW-030</t>
  </si>
  <si>
    <t xml:space="preserve">Plans &amp; workload</t>
  </si>
  <si>
    <t xml:space="preserve">ROW plan request tracking and workload/delivery estimating</t>
  </si>
  <si>
    <t xml:space="preserve">Capture ROW plan requests, project progress, reporting dates and progress indicators; help estimate workload and delivery dates; report levels of plan requests completed and abstracts/title reports completed per project.</t>
  </si>
  <si>
    <t xml:space="preserve">NH DOT ROWMS &amp; Rail Requirements: Tab 4 Land Titles – row 6 [Required / High]; Tab 4 Land Titles – row 8 [Required / High]; Tab 9 Reports – row 5 [Required / High]; Tab 9 Reports – row 6 [Required / High]</t>
  </si>
  <si>
    <t xml:space="preserve">ROW-005, ROW-166</t>
  </si>
  <si>
    <t xml:space="preserve">ROW-031</t>
  </si>
  <si>
    <t xml:space="preserve">Vendors</t>
  </si>
  <si>
    <t xml:space="preserve">External title-examiner contracts and vendor portal</t>
  </si>
  <si>
    <t xml:space="preserve">Manage contracts with external fee-title examiners; external contractors access and upload through an external-facing portal.</t>
  </si>
  <si>
    <t xml:space="preserve">NH DOT ROWMS &amp; Rail Requirements: Tab 4 Land Titles – row 7 [Required / High]; Tab 1 General – row 3 [Required / High]</t>
  </si>
  <si>
    <t xml:space="preserve">ROW-023, ROW-173</t>
  </si>
  <si>
    <t xml:space="preserve">ROW-032</t>
  </si>
  <si>
    <t xml:space="preserve">Title reports / templates with lookup (e.g., title front sheet)</t>
  </si>
  <si>
    <t xml:space="preserve">Report templates with interactive input/lookup (example: Title front sheet) and custom reports on title status, unresolved issues and number of titles across projects.</t>
  </si>
  <si>
    <t xml:space="preserve">Reporting</t>
  </si>
  <si>
    <t xml:space="preserve">NH DOT ROWMS &amp; Rail Requirements: Tab 4 Land Titles – row 27 [n/a / n/a]; Tab 4 Land Titles – row 23 [Required / High]</t>
  </si>
  <si>
    <t xml:space="preserve">ROW-025, ROW-175</t>
  </si>
  <si>
    <t xml:space="preserve">ROW-033</t>
  </si>
  <si>
    <t xml:space="preserve">Hearing notification management</t>
  </si>
  <si>
    <t xml:space="preserve">Manage the hearing-notification process starting from the interested-party data in Land Titles: create hearing notices from templates with mail merge and keep an electronic copy by parcel with USPS delivery/receipt.</t>
  </si>
  <si>
    <t xml:space="preserve">NH DOT ROWMS &amp; Rail Requirements: Tab 7 Administrative – row 2 [Required / High]; Tab 7 Administrative – row 3 [Required / High]; Tab 7 Administrative – row 4 [Required / High]</t>
  </si>
  <si>
    <t xml:space="preserve">'Hearing' context is not explained in the source beyond these rows.</t>
  </si>
  <si>
    <t xml:space="preserve">ROW-023, ROW-176</t>
  </si>
  <si>
    <t xml:space="preserve">ROW-034</t>
  </si>
  <si>
    <t xml:space="preserve">Survey &amp; Plans</t>
  </si>
  <si>
    <t xml:space="preserve">Survey data</t>
  </si>
  <si>
    <t xml:space="preserve">Survey data and CAD file management</t>
  </si>
  <si>
    <t xml:space="preserve">Securely store and manage raw survey data (field notes, GPS coordinates, total-station data) and upload/manage CAD files (DWG, DGN) with layers for control points, boundaries, easements and monuments.</t>
  </si>
  <si>
    <t xml:space="preserve">NH DOT ROWMS &amp; Rail Requirements: Tab 3 Survey – row 3 [Required / Med]; Tab 3 Survey – row 4 [Required / High]</t>
  </si>
  <si>
    <t xml:space="preserve">ROW-035, ROW-157</t>
  </si>
  <si>
    <t xml:space="preserve">ROW-035</t>
  </si>
  <si>
    <t xml:space="preserve">Survey request tracking</t>
  </si>
  <si>
    <t xml:space="preserve">Track survey requests with submittal and completion dates.</t>
  </si>
  <si>
    <t xml:space="preserve">NH DOT ROWMS &amp; Rail Requirements: Tab 3 Survey – row 5 [Required / High]</t>
  </si>
  <si>
    <t xml:space="preserve">ROW-036</t>
  </si>
  <si>
    <t xml:space="preserve">Survey metadata and monumentation records</t>
  </si>
  <si>
    <t xml:space="preserve">Capture survey metadata (surveyor, date, location, project) and manage monumentation records including as-built plans and field books.</t>
  </si>
  <si>
    <t xml:space="preserve">NH DOT ROWMS &amp; Rail Requirements: Tab 3 Survey – row 10 [Desired/Optional / Med]; Tab 3 Survey – row 11 [Required / High]</t>
  </si>
  <si>
    <t xml:space="preserve">ROW-037</t>
  </si>
  <si>
    <t xml:space="preserve">Survey software interoperability</t>
  </si>
  <si>
    <t xml:space="preserve">Import/export with survey platforms such as MicroStation, Trimble Business Center or Carlson.</t>
  </si>
  <si>
    <t xml:space="preserve">Integration</t>
  </si>
  <si>
    <t xml:space="preserve">NH DOT ROWMS &amp; Rail Requirements: Tab 3 Survey – row 15 [Required / High]</t>
  </si>
  <si>
    <t xml:space="preserve">MicroStation; Trimble Business Center; Carlson</t>
  </si>
  <si>
    <t xml:space="preserve">ROW-038</t>
  </si>
  <si>
    <t xml:space="preserve">Migrate and integrate the existing field-book system</t>
  </si>
  <si>
    <t xml:space="preserve">Migrate and integrate the agency's existing field-book system into the new system.</t>
  </si>
  <si>
    <t xml:space="preserve">Data</t>
  </si>
  <si>
    <t xml:space="preserve">NH DOT ROWMS &amp; Rail Requirements: Tab 3 Survey – row 16 [Required / High]</t>
  </si>
  <si>
    <t xml:space="preserve">ROW-034, ROW-203</t>
  </si>
  <si>
    <t xml:space="preserve">ROW-039</t>
  </si>
  <si>
    <t xml:space="preserve">Restricted editing of survey plans (e.g., Chief Surveyor only)</t>
  </si>
  <si>
    <t xml:space="preserve">Limit plan editing to the Chief Surveyor or authorised designees, and audit who accessed, changed or approved plans over time.</t>
  </si>
  <si>
    <t xml:space="preserve">Non-functional</t>
  </si>
  <si>
    <t xml:space="preserve">NH DOT ROWMS &amp; Rail Requirements: Tab 3 Survey – row 24 [Required / High]; Tab 3 Survey – row 19 [Required / High]</t>
  </si>
  <si>
    <t xml:space="preserve">ROW-034, ROW-213</t>
  </si>
  <si>
    <t xml:space="preserve">ROW-040</t>
  </si>
  <si>
    <t xml:space="preserve">Public-inquiry response and statewide-contract tracking</t>
  </si>
  <si>
    <t xml:space="preserve">Track, tag and store public inquiry responses; track project-responsibility reporting; manage and track statewide contracts.</t>
  </si>
  <si>
    <t xml:space="preserve">NH DOT ROWMS &amp; Rail Requirements: Tab 3 Survey – row 20 [Required / High]; Tab 3 Survey – row 21 [Required / High]; Tab 3 Survey – row 22 [Require / High]</t>
  </si>
  <si>
    <t xml:space="preserve">Meaning of 'project responsibility reporting' is not explained in NH T3!R21.</t>
  </si>
  <si>
    <t xml:space="preserve">ROW-157</t>
  </si>
  <si>
    <t xml:space="preserve">ROW-041</t>
  </si>
  <si>
    <t xml:space="preserve">Survey status and performance reports</t>
  </si>
  <si>
    <t xml:space="preserve">Reports on ROW status, survey completeness and performance metrics (metrics TBD in source).</t>
  </si>
  <si>
    <t xml:space="preserve">NH DOT ROWMS &amp; Rail Requirements: Tab 3 Survey – row 18 [Required / High]</t>
  </si>
  <si>
    <t xml:space="preserve">ROW-042</t>
  </si>
  <si>
    <t xml:space="preserve">Appraisal &amp; Review</t>
  </si>
  <si>
    <t xml:space="preserve">Assignment</t>
  </si>
  <si>
    <t xml:space="preserve">Appraisal assignment and tracking workflow (internal / external appraisers)</t>
  </si>
  <si>
    <t xml:space="preserve">Assign appraisals of a parcel to an appraiser (in-house or contract), enter a contract and payment structure, notify the appraiser by email, and log all related items; data entered once (project, parcel, owner, inspection dates) populates fields across the system.</t>
  </si>
  <si>
    <t xml:space="preserve">NH DOT ROWMS &amp; Rail Requirements: Tab 5 Appraisal – row 7 [Required / High]
Idaho ITD RFP Event 85 – ROWMS: §9 Appraisal Requirements ['must' requirement (§9)] ×2
WSDOT RFI (2023): Perf. Requirements – Property Acquisition &amp; Relocation Services [RFI – performance requirement list (no priority given)]</t>
  </si>
  <si>
    <t xml:space="preserve">Pro SOW: 'Parcel-Appraisal'; Demo: Appraisal form (type, agent, reviewer; Draft &gt; Appraise &gt; Review &gt; Approved)</t>
  </si>
  <si>
    <t xml:space="preserve">ROW-019, ROW-023, ROW-034, ROW-248</t>
  </si>
  <si>
    <t xml:space="preserve">ROW-043</t>
  </si>
  <si>
    <t xml:space="preserve">Appraisal record</t>
  </si>
  <si>
    <t xml:space="preserve">Appraisal data capture (type, dates, valuation, basis)</t>
  </si>
  <si>
    <t xml:space="preserve">Store appraisal details: report type (e.g., Property Compensation Estimate, Form 2288, Before &amp; After), report and inspection dates, fee, deadline, valuation, basis for valuation, rights being acquired, property type, size, zoning, improvements, approaches to value.</t>
  </si>
  <si>
    <t xml:space="preserve">NH DOT ROWMS &amp; Rail Requirements: Tab 5 Appraisal – row 5 [Required / High]
Idaho ITD RFP Event 85 – ROWMS: §9 Appraisal Requirements ['must' requirement (§9)]</t>
  </si>
  <si>
    <t xml:space="preserve">Demo: Appraisal form with Appraisal Amounts grid; SOW libraries 'Appraisal Type', 'Appraisal Amount Type'</t>
  </si>
  <si>
    <t xml:space="preserve">ROW-044</t>
  </si>
  <si>
    <t xml:space="preserve">Review</t>
  </si>
  <si>
    <t xml:space="preserve">Appraisal review workflow with accept/reject justification</t>
  </si>
  <si>
    <t xml:space="preserve">Assign internal/external review appraisers, record approval or disapproval with comments and justification, and return the appraisal electronically to the original appraiser for corrections. WSDOT also asks that review data be kept for each appraisal.</t>
  </si>
  <si>
    <t xml:space="preserve">NH DOT ROWMS &amp; Rail Requirements: Tab 5 Appraisal – row 9 [Required / High]
Idaho ITD RFP Event 85 – ROWMS: §9 Appraisal Requirements ['must' requirement (§9)] ×3
WSDOT RFI (2023): Perf. Requirements – Property Acquisition &amp; Relocation Services [RFI – performance requirement list (no priority given)]</t>
  </si>
  <si>
    <t xml:space="preserve">Demo: Review Amounts grid and Appraisal workflow Appraise &gt; Review &gt; Approved</t>
  </si>
  <si>
    <t xml:space="preserve">ROW-045</t>
  </si>
  <si>
    <t xml:space="preserve">Multiple appraisals per parcel with history and change documentation</t>
  </si>
  <si>
    <t xml:space="preserve">Keep the history of several appraisals on one parcel (new approved appraisal archives the earlier one), document what changed in later appraisals, and link reviews to the correct appraisal; retain historical valuations for future cost estimating.</t>
  </si>
  <si>
    <t xml:space="preserve">NH DOT ROWMS &amp; Rail Requirements: Tab 5 Appraisal – row 21 [Required / High]
Idaho ITD RFP Event 85 – ROWMS: §9 Appraisal Requirements ['must' requirement (§9)] ×2
WSDOT RFI (2023): Perf. Requirements – Property Acquisition &amp; Relocation Services [RFI – performance requirement list (no priority given)]</t>
  </si>
  <si>
    <t xml:space="preserve">ROW-046</t>
  </si>
  <si>
    <t xml:space="preserve">Just-compensation approval (electronic)</t>
  </si>
  <si>
    <t xml:space="preserve">Authorised users review and approve just compensation used for initial or revised offers online; approved value is shown during negotiation.</t>
  </si>
  <si>
    <t xml:space="preserve">NH DOT ROWMS &amp; Rail Requirements: Tab 2 ROW Agent – row 21 [Required / High]
Idaho ITD RFP Event 85 – ROWMS: §9 Appraisal Requirements ['must' requirement (§9)]</t>
  </si>
  <si>
    <t xml:space="preserve">Demo: 'Approved Just Compensation ($)' field on Appraisal review</t>
  </si>
  <si>
    <t xml:space="preserve">ROW-044, ROW-253</t>
  </si>
  <si>
    <t xml:space="preserve">ROW-047</t>
  </si>
  <si>
    <t xml:space="preserve">Appraisal document storage with version control and audit log</t>
  </si>
  <si>
    <t xml:space="preserve">Securely store draft/final appraisals, review appraisals and supporting documents (comps, plats, cost tables, waiver valuation documents) with version control and audit logs.</t>
  </si>
  <si>
    <t xml:space="preserve">NH DOT ROWMS &amp; Rail Requirements: Tab 5 Appraisal – row 3 [Required / High]; Tab 5 Appraisal – row 4 [Required / High]
Idaho ITD RFP Event 85 – ROWMS: §9 Appraisal Requirements ['must' requirement (§9)]</t>
  </si>
  <si>
    <t xml:space="preserve">ROW-043, ROW-160</t>
  </si>
  <si>
    <t xml:space="preserve">ROW-048</t>
  </si>
  <si>
    <t xml:space="preserve">Appraisal linked to parcel and proposed acquisition</t>
  </si>
  <si>
    <t xml:space="preserve">Link each appraisal directly to its parcel and the proposed acquisition.</t>
  </si>
  <si>
    <t xml:space="preserve">NH DOT ROWMS &amp; Rail Requirements: Tab 5 Appraisal – row 6 [Required / High]</t>
  </si>
  <si>
    <t xml:space="preserve">Demo/SOW: Appraisal is a child form under Parcel</t>
  </si>
  <si>
    <t xml:space="preserve">ROW-049</t>
  </si>
  <si>
    <t xml:space="preserve">Owner-submitted (third-party) appraisals</t>
  </si>
  <si>
    <t xml:space="preserve">Store and display an appraisal submitted by a property owner, indicate approval of all or parts, and submit approved values into the system.</t>
  </si>
  <si>
    <t xml:space="preserve">Idaho ITD RFP Event 85 – ROWMS: §9 Appraisal Requirements ['must' requirement (§9)]</t>
  </si>
  <si>
    <t xml:space="preserve">ROW-050</t>
  </si>
  <si>
    <t xml:space="preserve">Auto-generated appraisal summary sheet and status reports</t>
  </si>
  <si>
    <t xml:space="preserve">Generate an appraisal summary information sheet from entered data and report appraisal status by project (pending, prepared, approved, waiting resubmission, on hold, etc.).</t>
  </si>
  <si>
    <t xml:space="preserve">Idaho ITD RFP Event 85 – ROWMS: §9 Appraisal Requirements ['must' requirement (§9)] ×2</t>
  </si>
  <si>
    <t xml:space="preserve">ROW-051</t>
  </si>
  <si>
    <t xml:space="preserve">Appraisal report writing modules (template-populated)</t>
  </si>
  <si>
    <t xml:space="preserve">Report-writing modules per report type that populate templates with project, parcel and owner information.</t>
  </si>
  <si>
    <t xml:space="preserve">NH DOT ROWMS &amp; Rail Requirements: Tab 5 Appraisal – row 26 [Required / High]</t>
  </si>
  <si>
    <t xml:space="preserve">ROW-043, ROW-175</t>
  </si>
  <si>
    <t xml:space="preserve">ROW-052</t>
  </si>
  <si>
    <t xml:space="preserve">Missing-element checks on appraisal reports</t>
  </si>
  <si>
    <t xml:space="preserve">Flag missing required elements via a checklist defined per report type.</t>
  </si>
  <si>
    <t xml:space="preserve">NH DOT ROWMS &amp; Rail Requirements: Tab 5 Appraisal – row 10 [Optional / Medium]</t>
  </si>
  <si>
    <t xml:space="preserve">ROW-044, ROW-051</t>
  </si>
  <si>
    <t xml:space="preserve">ROW-053</t>
  </si>
  <si>
    <t xml:space="preserve">Valuation</t>
  </si>
  <si>
    <t xml:space="preserve">Waiver valuations and escalation to full appraisal</t>
  </si>
  <si>
    <t xml:space="preserve">Track offers made on a waiver / nominal-fee basis and when they must be elevated to appraisal; store waiver valuation documents; support waiver workflows.</t>
  </si>
  <si>
    <t xml:space="preserve">NH DOT ROWMS &amp; Rail Requirements: Tab 2 ROW Agent – row 32 [Required / High]; Tab 2 ROW Agent – row 12 [Required / High]; Tab 5 Appraisal – row 3 [Required / High]</t>
  </si>
  <si>
    <t xml:space="preserve">'Waiver' is used in NH without a definition; description reflects only what the rows say.</t>
  </si>
  <si>
    <t xml:space="preserve">ROW-054</t>
  </si>
  <si>
    <t xml:space="preserve">Property-management valuations (broker opinions, rent studies, surplus appraisals)</t>
  </si>
  <si>
    <t xml:space="preserve">Create and review value determinations used in property management: market value appraisals, broker opinions of value, administrative compensation estimates, rent studies and other specialty reports; track surplus appraisals by project, parcel and GIS.</t>
  </si>
  <si>
    <t xml:space="preserve">NH DOT ROWMS &amp; Rail Requirements: Tab 5 Appraisal – row 32 [n/a / n/a]
WSDOT RFI (2023): Perf. Requirements – Property Management [RFI – performance requirement list (no priority given)]</t>
  </si>
  <si>
    <t xml:space="preserve">ROW-042, ROW-117</t>
  </si>
  <si>
    <t xml:space="preserve">ROW-055</t>
  </si>
  <si>
    <t xml:space="preserve">Appraiser management</t>
  </si>
  <si>
    <t xml:space="preserve">Contract-appraiser qualification, performance and scoring</t>
  </si>
  <si>
    <t xml:space="preserve">Track contract appraisers, qualifications, assignments and performance; automated scoring for awarding future contracts; track eligible-appraiser selection, RFPs/responses, regret and notice-to-proceed letters, bid amounts and due dates. Idaho adds appraiser licensing and agency rating reporting.</t>
  </si>
  <si>
    <t xml:space="preserve">NH DOT ROWMS &amp; Rail Requirements: Tab 5 Appraisal – row 11 [Required / Medium]; Tab 5 Appraisal – row 12 [Required / High]; Tab 5 Appraisal – row 14 [Required / High]
Idaho ITD RFP Event 85 – ROWMS: §9.14 Value Added Services ['must' requirement (§9)]</t>
  </si>
  <si>
    <t xml:space="preserve">SOW library 'Appraisal Agent' / 'Consultant Firms' (Original SOW); scoring/RFP tracking not evidenced</t>
  </si>
  <si>
    <t xml:space="preserve">ROW-056</t>
  </si>
  <si>
    <t xml:space="preserve">Appraiser scheduling (due dates, site visits)</t>
  </si>
  <si>
    <t xml:space="preserve">Scheduling feature to manage due dates, site visits and submission timelines.</t>
  </si>
  <si>
    <t xml:space="preserve">NH DOT ROWMS &amp; Rail Requirements: Tab 5 Appraisal – row 15 [Required / High]</t>
  </si>
  <si>
    <t xml:space="preserve">ROW-057</t>
  </si>
  <si>
    <t xml:space="preserve">Secure external appraiser upload and feedback</t>
  </si>
  <si>
    <t xml:space="preserve">External appraisers securely upload documents and receive feedback inside the platform ('better than an FTP').</t>
  </si>
  <si>
    <t xml:space="preserve">NH DOT ROWMS &amp; Rail Requirements: Tab 5 Appraisal – row 16 [Required / High]; Tab 1 General – row 3 [Required / High]</t>
  </si>
  <si>
    <t xml:space="preserve">ROW-042, ROW-173</t>
  </si>
  <si>
    <t xml:space="preserve">ROW-058</t>
  </si>
  <si>
    <t xml:space="preserve">Appraiser payment initiation and tracking</t>
  </si>
  <si>
    <t xml:space="preserve">Initiate and track payment of contract appraisers.</t>
  </si>
  <si>
    <t xml:space="preserve">NH DOT ROWMS &amp; Rail Requirements: Tab 5 Appraisal – row 17 [Required / High]</t>
  </si>
  <si>
    <t xml:space="preserve">ROW-042, ROW-108</t>
  </si>
  <si>
    <t xml:space="preserve">ROW-059</t>
  </si>
  <si>
    <t xml:space="preserve">Compliance</t>
  </si>
  <si>
    <t xml:space="preserve">Appraisal standards alignment and required review documents</t>
  </si>
  <si>
    <t xml:space="preserve">Workflows aligned with the Uniform Act (URA), USPAP and state DOT appraisal standards; generate review and approval documents required by the Uniform Act and ROW Manual.</t>
  </si>
  <si>
    <t xml:space="preserve">NH DOT ROWMS &amp; Rail Requirements: Tab 5 Appraisal – row 19 [Optional / Medium]; Tab 5 Appraisal – row 20 [Required / High]
Idaho ITD RFP Event 85 – ROWMS: §9 General Requirements: ['must' requirement (§9)]</t>
  </si>
  <si>
    <t xml:space="preserve">URA / Uniform Act; USPAP; ROW Manual</t>
  </si>
  <si>
    <t xml:space="preserve">ROW-060</t>
  </si>
  <si>
    <t xml:space="preserve">Market data</t>
  </si>
  <si>
    <t xml:space="preserve">Comparable sales database with GIS visualization</t>
  </si>
  <si>
    <t xml:space="preserve">Database of comparable sales/leases for all property types with multi-factor search, populated from fee appraisal reports; visualize comps on a GIS map with transaction data; support market analysis.</t>
  </si>
  <si>
    <t xml:space="preserve">NH DOT ROWMS &amp; Rail Requirements: Tab 5 Appraisal – row 28 [Required / Medium]; Tab 5 Appraisal – row 30 [Required / High]; Tab 9 Reports – row 16 [Required / High]</t>
  </si>
  <si>
    <t xml:space="preserve">ROW-043, ROW-180</t>
  </si>
  <si>
    <t xml:space="preserve">ROW-061</t>
  </si>
  <si>
    <t xml:space="preserve">Appraisal data extraction and cross-parcel summaries</t>
  </si>
  <si>
    <t xml:space="preserve">Extract key appraisal fields (land value, damages, parts taken, severance, improvements, cost to cure, total compensation) for reporting/mapping with keyword/fuzzy search; summarize outcomes across parcels or projects (e.g., average acquisition cost).</t>
  </si>
  <si>
    <t xml:space="preserve">NH DOT ROWMS &amp; Rail Requirements: Tab 5 Appraisal – row 23 [Optional / Medium]; Tab 5 Appraisal – row 24 [Optional/Demo / Medium]</t>
  </si>
  <si>
    <t xml:space="preserve">ROW-062</t>
  </si>
  <si>
    <t xml:space="preserve">Map-to-appraisal drill-through</t>
  </si>
  <si>
    <t xml:space="preserve">Link from the map view to the underlying appraisal report.</t>
  </si>
  <si>
    <t xml:space="preserve">NH DOT ROWMS &amp; Rail Requirements: Tab 5 Appraisal – row 29 [Optional / Medium]</t>
  </si>
  <si>
    <t xml:space="preserve">ROW-063</t>
  </si>
  <si>
    <t xml:space="preserve">Negotiation &amp; Offers</t>
  </si>
  <si>
    <t xml:space="preserve">Offers</t>
  </si>
  <si>
    <t xml:space="preserve">Offer, counter-offer and agreement generation and tracking</t>
  </si>
  <si>
    <t xml:space="preserve">Generate, store and track offer letters, counter-offers and signed agreements; record negotiated settlement details in individual fields (date, amount, action, note) including payment/benefit breakdown and every offer/counter-offer.</t>
  </si>
  <si>
    <t xml:space="preserve">NH DOT ROWMS &amp; Rail Requirements: Tab 2 ROW Agent – row 18 [Required / High]; Tab 2 ROW Agent – row 20 [Required / High]
Idaho ITD RFP Event 85 – ROWMS: §9 Negotiation and Acquisition Requirements ['must' requirement (§9)]
WSDOT RFI (2023): Perf. Requirements – Property Acquisition &amp; Relocation Services [RFI – performance requirement list (no priority given)]
Austin Transit Partnership RFQ (2025): Scope – IV. Data Requirements [RFQ – requirement listed in scope]</t>
  </si>
  <si>
    <t xml:space="preserve">Pro SOW: 'Acquisition' &gt; 'Negotiation'; Demo: Agreement form &gt; Offers grid (Offer Type library) and Negotiation Amount Breakdown</t>
  </si>
  <si>
    <t xml:space="preserve">ROW-046, ROW-175, ROW-256</t>
  </si>
  <si>
    <t xml:space="preserve">ROW-064</t>
  </si>
  <si>
    <t xml:space="preserve">Negotiator assignment and notification</t>
  </si>
  <si>
    <t xml:space="preserve">Assign a negotiator (in-house or consultant) to each parcel and notify the project lead and negotiator in-system and by email; notify negotiator when appraisal approval makes a parcel ready for negotiation.</t>
  </si>
  <si>
    <t xml:space="preserve">Idaho ITD RFP Event 85 – ROWMS: §9 Negotiation and Acquisition Requirements ['must' requirement (§9)] ×2; §9 Appraisal Requirements ['must' requirement (§9)]</t>
  </si>
  <si>
    <t xml:space="preserve">ROW-019, ROW-046</t>
  </si>
  <si>
    <t xml:space="preserve">ROW-065</t>
  </si>
  <si>
    <t xml:space="preserve">Settlement and administrative-settlement recording</t>
  </si>
  <si>
    <t xml:space="preserve">Record the amount of any administrative settlement and settlement details; create an Acquisition Review Report summarizing the settlement; track just compensation vs. agreed settlement with reminders for related approval-agenda deadlines.</t>
  </si>
  <si>
    <t xml:space="preserve">NH DOT ROWMS &amp; Rail Requirements: Tab 2 ROW Agent – row 21 [Required / High]
Idaho ITD RFP Event 85 – ROWMS: §9 Negotiation and Acquisition Requirements ['must' requirement (§9)] ×2</t>
  </si>
  <si>
    <t xml:space="preserve">Demo: Agreement form &gt; Administrative Settlement section</t>
  </si>
  <si>
    <t xml:space="preserve">NH T2!R21 mentions 'G&amp;C agenda items'; 'G&amp;C' is not defined in the file.</t>
  </si>
  <si>
    <t xml:space="preserve">ROW-066</t>
  </si>
  <si>
    <t xml:space="preserve">Offer package and delivery tracking</t>
  </si>
  <si>
    <t xml:space="preserve">Identify the documents in the original offer (Advice of Rights, brochure, appraisal, claim for payment, ROW contract, deeds, easements, possession agreement, relocation brochure) and record date and method delivered; record the date Advice of Rights was presented.</t>
  </si>
  <si>
    <t xml:space="preserve">Idaho ITD RFP Event 85 – ROWMS: §9 Negotiation and Acquisition Requirements ['must' requirement (§9)] ×2</t>
  </si>
  <si>
    <t xml:space="preserve">ROW-067</t>
  </si>
  <si>
    <t xml:space="preserve">Impasse letter and condemnation-recommendation data</t>
  </si>
  <si>
    <t xml:space="preserve">Generate an impasse letter (final notice that negotiations cease, request for possession agreement, condemnation to proceed after a deadline) and capture last offer, owner's ask, number of attempts and reasons for recommending condemnation.</t>
  </si>
  <si>
    <t xml:space="preserve">ROW-068</t>
  </si>
  <si>
    <t xml:space="preserve">Owner retention of improvements / salvage valuation</t>
  </si>
  <si>
    <t xml:space="preserve">Record an owner's request to retain improvements and appurtenances and show updated (salvage) valuation, storing the salvage form.</t>
  </si>
  <si>
    <t xml:space="preserve">ROW-069</t>
  </si>
  <si>
    <t xml:space="preserve">Negotiator progress report</t>
  </si>
  <si>
    <t xml:space="preserve">Monthly (or user-defined period) report of assigned parcels by project and parcel number.</t>
  </si>
  <si>
    <t xml:space="preserve">ROW-070</t>
  </si>
  <si>
    <t xml:space="preserve">Key / property-item turnover at closing</t>
  </si>
  <si>
    <t xml:space="preserve">Document collection of keys, garage-door openers etc. at closing, with date, by whom and delivered to whom.</t>
  </si>
  <si>
    <t xml:space="preserve">ROW-071</t>
  </si>
  <si>
    <t xml:space="preserve">Acquisition Workflow &amp; Compliance</t>
  </si>
  <si>
    <t xml:space="preserve">Workflow</t>
  </si>
  <si>
    <t xml:space="preserve">Configurable workflow per acquisition type</t>
  </si>
  <si>
    <t xml:space="preserve">Customizable workflows for each acquisition type (acquisition, waiver, appraisal; fee, easement, temporary, donation) and for transactions such as leases, purchases and surplus conveyances.</t>
  </si>
  <si>
    <t xml:space="preserve">NH DOT ROWMS &amp; Rail Requirements: Tab 2 ROW Agent – row 12 [Required / High]
Idaho ITD RFP Event 85 – ROWMS: §9 General Requirements: ['must' requirement (§9)]
NMDOT RFP 06-0100: App. A §2 Project Objectives [SOW project objective ('system should')]
WSDOT RFI (2023): Perf. Requirements – Property Acquisition &amp; Relocation Services [RFI – performance requirement list (no priority given)]</t>
  </si>
  <si>
    <t xml:space="preserve">Platform workflow engine; SOW: preconfigured workflows on business-process forms; Pro SOW 'Workflow adhering to compliance'</t>
  </si>
  <si>
    <t xml:space="preserve">ROW-165</t>
  </si>
  <si>
    <t xml:space="preserve">ROW-072</t>
  </si>
  <si>
    <t xml:space="preserve">Ordered acquisition steps with step-gating</t>
  </si>
  <si>
    <t xml:space="preserve">Define required acquisition steps in order and, on request, block moving to the next step until prior steps are complete. NH example: with no NEPA approval date, no acquisition work may start (appraising may).</t>
  </si>
  <si>
    <t xml:space="preserve">NH DOT ROWMS &amp; Rail Requirements: Tab 2 ROW Agent – row 13 [Required / High]
Idaho ITD RFP Event 85 – ROWMS: §9 Negotiation and Acquisition Requirements ['must' requirement (§9)]</t>
  </si>
  <si>
    <t xml:space="preserve">Demo: state-based workflows (e.g., Acquisition &gt; Negotiation/Condemnation &gt; Audit &gt; Acquired); rule-based gating not evidenced</t>
  </si>
  <si>
    <t xml:space="preserve">ROW-073</t>
  </si>
  <si>
    <t xml:space="preserve">Statutory timelines, auto-assigned deadlines and delay alerts</t>
  </si>
  <si>
    <t xml:space="preserve">Track acquisition dates against statutory timelines; auto-assign deadlines and alert on delays (date-time window); account for waivers that change time frames; start from an external notice-to-proceed trigger.</t>
  </si>
  <si>
    <t xml:space="preserve">NH DOT ROWMS &amp; Rail Requirements: Tab 2 ROW Agent – row 4 [Required / High]; Tab 2 ROW Agent – row 15 [Required / High]</t>
  </si>
  <si>
    <t xml:space="preserve">Statutory time lines (state/URA)</t>
  </si>
  <si>
    <t xml:space="preserve">ROW-010, ROW-071, ROW-170</t>
  </si>
  <si>
    <t xml:space="preserve">ROW-074</t>
  </si>
  <si>
    <t xml:space="preserve">URA-based reminders for next action</t>
  </si>
  <si>
    <t xml:space="preserve">Prompt the next action per property and affected party based on the URA; allow multiple reminders, an outstanding-items report and editable reminder dates.</t>
  </si>
  <si>
    <t xml:space="preserve">NH DOT ROWMS &amp; Rail Requirements: Tab 2 ROW Agent – row 8 [Required / High]</t>
  </si>
  <si>
    <t xml:space="preserve">URA</t>
  </si>
  <si>
    <t xml:space="preserve">ROW-075</t>
  </si>
  <si>
    <t xml:space="preserve">URA / Uniform Act-aligned acquisition process</t>
  </si>
  <si>
    <t xml:space="preserve">Acquisition and relocation workflow aligned with the Uniform Relocation Assistance and Real Property Acquisition Policies Act and kept current; also state law (e.g., Texas Property Code per ATX).</t>
  </si>
  <si>
    <t xml:space="preserve">NH DOT ROWMS &amp; Rail Requirements: Tab 2 ROW Agent – row 23 [Required / High]
Idaho ITD RFP Event 85 – ROWMS: §9 General Requirements: ['must' requirement (§9)]
NMDOT RFP 06-0100: App. A §2 Project Objectives [SOW project objective ('system should')]
WSDOT RFI (2023): Perf. Requirements – Property Acquisition &amp; Relocation Services [RFI – performance requirement list (no priority given)]
Austin Transit Partnership RFQ (2025): Scope of Services [RFQ – requirement listed in scope]</t>
  </si>
  <si>
    <t xml:space="preserve">URA (49 CFR 24 not cited in sources); Texas Property Code; ROW Manual</t>
  </si>
  <si>
    <t xml:space="preserve">Pro SOW: 'Workflow adhering to compliance'; Deck: 'Adherence to Legal Compliance'</t>
  </si>
  <si>
    <t xml:space="preserve">ROW-076</t>
  </si>
  <si>
    <t xml:space="preserve">Environmental (NEPA) clearance tracking</t>
  </si>
  <si>
    <t xml:space="preserve">Track environmental clearance status and use it to gate acquisition; report clearance status (Environmental clearance, ROW certification, possession, acquisition) and clearance performance vs. target.</t>
  </si>
  <si>
    <t xml:space="preserve">NH DOT ROWMS &amp; Rail Requirements: Tab 2 ROW Agent – row 13 [Required / High]
Idaho ITD RFP Event 85 – ROWMS: §9 Management Reporting – Project Management Reports ['must' requirement (§9)]; §9 Management Reporting - Performance Measures ['must' requirement (§9)]
Austin Transit Partnership RFQ (2025): Scope – IV. Data Requirements [RFQ – requirement listed in scope]</t>
  </si>
  <si>
    <t xml:space="preserve">ROW-077</t>
  </si>
  <si>
    <t xml:space="preserve">Right-of-entry management</t>
  </si>
  <si>
    <t xml:space="preserve">Track rights of entry as part of pre-acquisition and report on all rights of entry.</t>
  </si>
  <si>
    <t xml:space="preserve">Austin Transit Partnership RFQ (2025): Scope – A. Data Management [RFQ – requirement listed in scope]
Osceola County BRD §6.1.7 (real estate/ROW): BRD §6.1.7/§7.1 – Req 1184 [Must Have]</t>
  </si>
  <si>
    <t xml:space="preserve">ROW-014, ROW-072</t>
  </si>
  <si>
    <t xml:space="preserve">ROW-078</t>
  </si>
  <si>
    <t xml:space="preserve">Easement management (types, locations, expiry)</t>
  </si>
  <si>
    <t xml:space="preserve">Record easements: type, purpose, location, grantor/grantee, legal description, recorded-document information, start/end dates; track temporary easements with time limits, expiration dates and notification requirements; report all easements.</t>
  </si>
  <si>
    <t xml:space="preserve">WSDOT RFI (2023): Perf. Requirements – Property Acquisition &amp; Relocation Services [RFI – performance requirement list (no priority given)]
Austin Transit Partnership RFQ (2025): Scope – IV. Data Requirements [RFQ – requirement listed in scope]
Osceola County BRD §6.1.7 (real estate/ROW): BRD §6.1.7/§7.1 – Req 1185 [Must Have]</t>
  </si>
  <si>
    <t xml:space="preserve">Demo: Easements form (type, dates, start/end station); SOW library 'Easement Type'</t>
  </si>
  <si>
    <t xml:space="preserve">ROW-014, ROW-065</t>
  </si>
  <si>
    <t xml:space="preserve">ROW-079</t>
  </si>
  <si>
    <t xml:space="preserve">Audit trail and documentation for federal review / reimbursement</t>
  </si>
  <si>
    <t xml:space="preserve">Maintain a clear audit trail and the documentation required for federal review or reimbursement, and be able to satisfy an FHWA audit.</t>
  </si>
  <si>
    <t xml:space="preserve">NH DOT ROWMS &amp; Rail Requirements: Tab 2 ROW Agent – row 24 [Required / High]; Tab 1 General – row 39 [Required / High]</t>
  </si>
  <si>
    <t xml:space="preserve">FHWA audit</t>
  </si>
  <si>
    <t xml:space="preserve">ROW-071, ROW-214</t>
  </si>
  <si>
    <t xml:space="preserve">ROW-080</t>
  </si>
  <si>
    <t xml:space="preserve">Acquisition request intake and approval</t>
  </si>
  <si>
    <t xml:space="preserve">Internal and external users electronically request acquisition of a property; requests capture desired parameters and go through an approval workflow.</t>
  </si>
  <si>
    <t xml:space="preserve">Osceola County BRD §6.1.7 (real estate/ROW): BRD §6.1.7/§7.1 – Req 1175 [Must Have]; BRD §6.1.7/§7.1 – Req 1176 [Must Have]</t>
  </si>
  <si>
    <t xml:space="preserve">ROW-005, ROW-165</t>
  </si>
  <si>
    <t xml:space="preserve">ROW-081</t>
  </si>
  <si>
    <t xml:space="preserve">Acquisition agreement milestones and threshold alerts</t>
  </si>
  <si>
    <t xml:space="preserve">Capture agreement details (funding required, letter of intent, due diligence, title-work dates and deadlines) and alert when dollar limits or due dates are exceeded.</t>
  </si>
  <si>
    <t xml:space="preserve">Osceola County BRD §6.1.7 (real estate/ROW): BRD §6.1.7/§7.1 – Req 1144 [Must Have]</t>
  </si>
  <si>
    <t xml:space="preserve">ROW-063, ROW-170</t>
  </si>
  <si>
    <t xml:space="preserve">ROW-082</t>
  </si>
  <si>
    <t xml:space="preserve">Handoff</t>
  </si>
  <si>
    <t xml:space="preserve">Handoff from acquisition to property management</t>
  </si>
  <si>
    <t xml:space="preserve">Transfer responsibility from the acquisition agent to property-management care and tracking; auto-transfer acquired parcels (post-construction remnants) into property management.</t>
  </si>
  <si>
    <t xml:space="preserve">NH DOT ROWMS &amp; Rail Requirements: Tab 2 ROW Agent – row 16 [n/a / n/a]; Tab 6 Property Mgmt – row 7 [Desired / Medium]</t>
  </si>
  <si>
    <t xml:space="preserve">NH T2!R16 has no Required/Priority value in the file.</t>
  </si>
  <si>
    <t xml:space="preserve">ROW-065, ROW-117</t>
  </si>
  <si>
    <t xml:space="preserve">ROW-083</t>
  </si>
  <si>
    <t xml:space="preserve">Lease-back / occupancy agreement after acquisition</t>
  </si>
  <si>
    <t xml:space="preserve">After relocation, show whether the area is leased back to the owner/tenant, whether an occupancy agreement exists and the rent charged.</t>
  </si>
  <si>
    <t xml:space="preserve">NH DOT ROWMS &amp; Rail Requirements: Tab 2 ROW Agent – row 34 [Required / High]</t>
  </si>
  <si>
    <t xml:space="preserve">ROW-082, ROW-125</t>
  </si>
  <si>
    <t xml:space="preserve">ROW-084</t>
  </si>
  <si>
    <t xml:space="preserve">Cross-module data sharing (title, acquisition, appraisal, relocation)</t>
  </si>
  <si>
    <t xml:space="preserve">Title records integrate with acquisition, appraisal and relocation modules, and the solution operates as a single integrated whole so data entered once is available everywhere.</t>
  </si>
  <si>
    <t xml:space="preserve">NH DOT ROWMS &amp; Rail Requirements: Tab 4 Land Titles – row 17 [Required / High]; Tab 1 General – row 11 [Required / High]
NMDOT RFP 06-0100: App. A §3.2.1 [SOW scope item / RFP purpose]</t>
  </si>
  <si>
    <t xml:space="preserve">None</t>
  </si>
  <si>
    <t xml:space="preserve">ROW-085</t>
  </si>
  <si>
    <t xml:space="preserve">Relocation Assistance</t>
  </si>
  <si>
    <t xml:space="preserve">Relocation case</t>
  </si>
  <si>
    <t xml:space="preserve">Relocation case management (residential and non-residential)</t>
  </si>
  <si>
    <t xml:space="preserve">Document potential residential and non-residential relocations of owners, tenants and property; store displacee details, unique relocation ID, relocation type, claims and notices; confirm displacee list per parcel.</t>
  </si>
  <si>
    <t xml:space="preserve">NH DOT ROWMS &amp; Rail Requirements: Tab 2 ROW Agent – row 4 [Required / High]
Idaho ITD RFP Event 85 – ROWMS: §9 Relocation Requirements ['must' requirement (§9)] ×2
WSDOT RFI (2023): Perf. Requirements – Property Acquisition &amp; Relocation Services [RFI – performance requirement list (no priority given)]
Austin Transit Partnership RFQ (2025): Scope – IV. Data Requirements [RFQ – requirement listed in scope]</t>
  </si>
  <si>
    <t xml:space="preserve">Federal relocation regulations (URA)</t>
  </si>
  <si>
    <t xml:space="preserve">Pro SOW: 'Parcel-Relocation', 'Residential Relocation', 'Non-Residential Relocation'; Demo: Relocation form</t>
  </si>
  <si>
    <t xml:space="preserve">ROW-086</t>
  </si>
  <si>
    <t xml:space="preserve">Relocation questionnaires and pre-populated worksheets</t>
  </si>
  <si>
    <t xml:space="preserve">Residential and non-residential relocation questionnaires (occupants, housing cost, business details, plans, lease terms) with worksheets pre-populated from earlier data.</t>
  </si>
  <si>
    <t xml:space="preserve">Idaho ITD RFP Event 85 – ROWMS: §9 Relocation Requirements ['must' requirement (§9)] ×3</t>
  </si>
  <si>
    <t xml:space="preserve">Pro SOW: 'Relocation Questionnaire'; Demo: Questionnaire form</t>
  </si>
  <si>
    <t xml:space="preserve">ROW-087</t>
  </si>
  <si>
    <t xml:space="preserve">Calculations</t>
  </si>
  <si>
    <t xml:space="preserve">Relocation payment calculation (eligibility and amounts)</t>
  </si>
  <si>
    <t xml:space="preserve">Calculate eligible relocation payments for residential and business displacees under alternatives; NH adds calculating mortgage and assistance rates based on URA; store results in the system.</t>
  </si>
  <si>
    <t xml:space="preserve">NH DOT ROWMS &amp; Rail Requirements: Tab 2 ROW Agent – row 9 [Required / High]
Idaho ITD RFP Event 85 – ROWMS: §9 Relocation Requirements ['must' requirement (§9)]
WSDOT RFI (2023): Perf. Requirements – Property Acquisition &amp; Relocation Services [RFI – performance requirement list (no priority given)]</t>
  </si>
  <si>
    <t xml:space="preserve">Demo: Relocation Eligibility (claim limit vs claimed) and Relocation Payments; calculation engine not evidenced</t>
  </si>
  <si>
    <t xml:space="preserve">ROW-088</t>
  </si>
  <si>
    <t xml:space="preserve">Mortgage interest differential calculation</t>
  </si>
  <si>
    <t xml:space="preserve">Calculate the mortgage differential payment capturing loan balance, new loan amount, terms, rate, existing payment, points and amount financed.</t>
  </si>
  <si>
    <t xml:space="preserve">Idaho ITD RFP Event 85 – ROWMS: §9 Relocation Requirements ['must' requirement (§9)]</t>
  </si>
  <si>
    <t xml:space="preserve">ROW-087, ROW-092</t>
  </si>
  <si>
    <t xml:space="preserve">ROW-089</t>
  </si>
  <si>
    <t xml:space="preserve">Price differential calculation</t>
  </si>
  <si>
    <t xml:space="preserve">Store/calculate price differential (carve-outs, easements, adjusted FMV, list price of selected comparable).</t>
  </si>
  <si>
    <t xml:space="preserve">ROW-090</t>
  </si>
  <si>
    <t xml:space="preserve">Rental assistance payment calculation</t>
  </si>
  <si>
    <t xml:space="preserve">Store/calculate rental assistance using replacement vs. displacement rent and utilities, low-income classification and a maximum of monthly assistance times 42 months.</t>
  </si>
  <si>
    <t xml:space="preserve">ROW-091</t>
  </si>
  <si>
    <t xml:space="preserve">Integration with external relocation calculators</t>
  </si>
  <si>
    <t xml:space="preserve">Integrate with Excel-based or internal relocation calculators and link/store the worksheets.</t>
  </si>
  <si>
    <t xml:space="preserve">ROW-092</t>
  </si>
  <si>
    <t xml:space="preserve">Replacement housing</t>
  </si>
  <si>
    <t xml:space="preserve">Replacement-housing study and comparables</t>
  </si>
  <si>
    <t xml:space="preserve">Prepare a replacement housing study triggered by appraisal completion; record available replacement housing (location, price/rent, attributes, inspected by whom).</t>
  </si>
  <si>
    <t xml:space="preserve">Idaho ITD RFP Event 85 – ROWMS: §9 Relocation Requirements ['must' requirement (§9)] ×2</t>
  </si>
  <si>
    <t xml:space="preserve">ROW-093</t>
  </si>
  <si>
    <t xml:space="preserve">Claims &amp; notices</t>
  </si>
  <si>
    <t xml:space="preserve">Relocation claim forms and statement of rent and income</t>
  </si>
  <si>
    <t xml:space="preserve">Generate and store claim forms for residential and non-residential displacees and a pre-populated statement of rent and income (occupant, rent, utilities, verification method, income).</t>
  </si>
  <si>
    <t xml:space="preserve">ROW-094</t>
  </si>
  <si>
    <t xml:space="preserve">Relocation notices (30/90-day, eligibility, brochure delivery)</t>
  </si>
  <si>
    <t xml:space="preserve">Generate 30-day vacate notices; record 90-day letter, Notice of Eligibility (replacement housing amount), and to whom/when the relocation brochure was delivered.</t>
  </si>
  <si>
    <t xml:space="preserve">Idaho ITD RFP Event 85 – ROWMS: §9 Relocation Requirements ['must' requirement (§9)] ×3
Austin Transit Partnership RFQ (2025): Scope – IV. Data Requirements [RFQ – requirement listed in scope]</t>
  </si>
  <si>
    <t xml:space="preserve">Pro SOW: 'Relocation Notice'</t>
  </si>
  <si>
    <t xml:space="preserve">ROW-085, ROW-170, ROW-175</t>
  </si>
  <si>
    <t xml:space="preserve">ROW-095</t>
  </si>
  <si>
    <t xml:space="preserve">Eligibility-by-date computation and claim-expiry alerts</t>
  </si>
  <si>
    <t xml:space="preserve">Compute whether displacees can claim based on occupancy/displacement dates and alert (plus letter) a user-defined number of months before the claim eligibility expires.</t>
  </si>
  <si>
    <t xml:space="preserve">ROW-096</t>
  </si>
  <si>
    <t xml:space="preserve">Displacee contact and new-address tracking</t>
  </si>
  <si>
    <t xml:space="preserve">Document contact with displacees including new address/contact and replacement dwelling.</t>
  </si>
  <si>
    <t xml:space="preserve">ROW-097</t>
  </si>
  <si>
    <t xml:space="preserve">Payments</t>
  </si>
  <si>
    <t xml:space="preserve">Relocation payment approval workflow and request</t>
  </si>
  <si>
    <t xml:space="preserve">Rules-based review/approval workflow for relocation payments; initiate payment requests and record warrant numbers/dates and date paid (paper check or electronic); document payment types (taxable vs non-taxable; possible 1099 support).</t>
  </si>
  <si>
    <t xml:space="preserve">IRS 1099 (tax treatment of payments)</t>
  </si>
  <si>
    <t xml:space="preserve">Demo: Relocation Payments section and workflow; rules-based approval not evidenced</t>
  </si>
  <si>
    <t xml:space="preserve">ROW-087, ROW-108</t>
  </si>
  <si>
    <t xml:space="preserve">ROW-098</t>
  </si>
  <si>
    <t xml:space="preserve">Demolition and property-securing requests</t>
  </si>
  <si>
    <t xml:space="preserve">Store date of request and completion of demolition; submit requests to the District for maintenance, boarding up or changing locks on acquired structures.</t>
  </si>
  <si>
    <t xml:space="preserve">Idaho ITD RFP Event 85 – ROWMS: §9 Property Management Requirements ['must' requirement (§9)] ×2; §9.14 Value Added Services [(E) evaluated – 'may have']</t>
  </si>
  <si>
    <t xml:space="preserve">Original SOW: 'Demolition Request' (Property Management configurable process)</t>
  </si>
  <si>
    <t xml:space="preserve">ROW-099</t>
  </si>
  <si>
    <t xml:space="preserve">Reports</t>
  </si>
  <si>
    <t xml:space="preserve">Relocation reports (measures, performance, FHWA)</t>
  </si>
  <si>
    <t xml:space="preserve">Relocation Measures report (NH asks for an upgrade of the existing one), FHWA relocation statistics, and displacee-level relocation reports.</t>
  </si>
  <si>
    <t xml:space="preserve">NH DOT ROWMS &amp; Rail Requirements: Tab 2 ROW Agent – row 44 [Required / High]
Idaho ITD RFP Event 85 – ROWMS: §9.14 Value Added Services ['must' requirement (§9)]</t>
  </si>
  <si>
    <t xml:space="preserve">SOW reports: 'Relocation Status Report', 'Relocation Performance Report'</t>
  </si>
  <si>
    <t xml:space="preserve">ROW-097, ROW-189</t>
  </si>
  <si>
    <t xml:space="preserve">ROW-100</t>
  </si>
  <si>
    <t xml:space="preserve">Condemnation &amp; Legal</t>
  </si>
  <si>
    <t xml:space="preserve">Condemnation</t>
  </si>
  <si>
    <t xml:space="preserve">Condemnation case management and milestones</t>
  </si>
  <si>
    <t xml:space="preserve">Record the decision to condemn, key dates (packet received, order sent to Legal, complaint filed, possession, mediation, trial, judgment) and outcome/court award; track court proceedings and settlements; track open cases by project.</t>
  </si>
  <si>
    <t xml:space="preserve">NH DOT ROWMS &amp; Rail Requirements: Tab 9 Reports – row 19 [Required / High]
Idaho ITD RFP Event 85 – ROWMS: §9 Condemnation Requirements ['must' requirement (§9)] ×2
WSDOT RFI (2023): Perf. Requirements – Property Acquisition &amp; Relocation Services [RFI – performance requirement list (no priority given)]
Austin Transit Partnership RFQ (2025): Scope of Services [RFQ – requirement listed in scope]</t>
  </si>
  <si>
    <t xml:space="preserve">Pro SOW: 'Condemnation' core process; Demo: Agreement &gt; Condemnation tab (hearing, amount breakdown, appeal)</t>
  </si>
  <si>
    <t xml:space="preserve">ROW-067, ROW-071</t>
  </si>
  <si>
    <t xml:space="preserve">ROW-101</t>
  </si>
  <si>
    <t xml:space="preserve">Condemnation memorandum and electronic routing for approval</t>
  </si>
  <si>
    <t xml:space="preserve">Generate a condemnation memorandum (last offer, counter offers, negotiation attempts, appraisal, diary, title) and route the request electronically to reviewers/approvers by user-defined rules.</t>
  </si>
  <si>
    <t xml:space="preserve">Idaho ITD RFP Event 85 – ROWMS: §9 Condemnation Requirements ['must' requirement (§9)] ×2</t>
  </si>
  <si>
    <t xml:space="preserve">ROW-100, ROW-165</t>
  </si>
  <si>
    <t xml:space="preserve">ROW-102</t>
  </si>
  <si>
    <t xml:space="preserve">Condemnation document set and filing checklist</t>
  </si>
  <si>
    <t xml:space="preserve">Format standard condemnation documents (Notice of Offer, Declaration of Taking, Notice of Condemnation), share documents/data across ROW, Attorney General and Tax/Land, and checklist post-filing steps (recorded notice, service on parties, copies to town/AG).</t>
  </si>
  <si>
    <t xml:space="preserve">NH DOT ROWMS &amp; Rail Requirements: Tab 7 Administrative – row 8 [Required / High]; Tab 7 Administrative – row 9 [Required / High]; Tab 7 Administrative – row 25 [Required / High]</t>
  </si>
  <si>
    <t xml:space="preserve">NH T7!R9 mentions 'NHBTLA'; the file does not define it.</t>
  </si>
  <si>
    <t xml:space="preserve">ROW-103</t>
  </si>
  <si>
    <t xml:space="preserve">Condemnation location and recorded-document status tracking</t>
  </si>
  <si>
    <t xml:space="preserve">Track where a condemnation file is (e.g., AG's office vs Land Titles) and the status of recorded legal documents.</t>
  </si>
  <si>
    <t xml:space="preserve">NH DOT ROWMS &amp; Rail Requirements: Tab 9 Reports – row 17 [Required / High]; Tab 9 Reports – row 18 [Required / High]</t>
  </si>
  <si>
    <t xml:space="preserve">ROW-104</t>
  </si>
  <si>
    <t xml:space="preserve">Legal / court payments and final condemnation payment</t>
  </si>
  <si>
    <t xml:space="preserve">Process legal condemnation payments (process servers, expert witnesses, court possession/settlement) and warrant requests payable to court/attorneys; NH notes the final condemnation check payee.</t>
  </si>
  <si>
    <t xml:space="preserve">NH DOT ROWMS &amp; Rail Requirements: Tab 7 Administrative – row 10 [Required / High]
Idaho ITD RFP Event 85 – ROWMS: §9 Condemnation Requirements ['must' requirement (§9)] ×2</t>
  </si>
  <si>
    <t xml:space="preserve">ROW-100, ROW-108</t>
  </si>
  <si>
    <t xml:space="preserve">ROW-105</t>
  </si>
  <si>
    <t xml:space="preserve">Condemnation-rate analytics</t>
  </si>
  <si>
    <t xml:space="preserve">Track condemnation rate by fiscal year, urban/rural, state vs federal project, etc.</t>
  </si>
  <si>
    <t xml:space="preserve">Idaho ITD RFP Event 85 – ROWMS: §9 Condemnation Requirements ['must' requirement (§9)]</t>
  </si>
  <si>
    <t xml:space="preserve">SOW reports: Condemnation Parcel Status / Performance reports; rate analytics not evidenced</t>
  </si>
  <si>
    <t xml:space="preserve">ROW-100, ROW-188</t>
  </si>
  <si>
    <t xml:space="preserve">ROW-106</t>
  </si>
  <si>
    <t xml:space="preserve">Appeal tracking</t>
  </si>
  <si>
    <t xml:space="preserve">Record whether a condemnation award was appealed, the settled date and appeal amounts.</t>
  </si>
  <si>
    <t xml:space="preserve">Demo: Agreement &gt; Condemnation tab &gt; Appeal section</t>
  </si>
  <si>
    <t xml:space="preserve">ROW-107</t>
  </si>
  <si>
    <t xml:space="preserve">Payments &amp; Compensation</t>
  </si>
  <si>
    <t xml:space="preserve">Compensation</t>
  </si>
  <si>
    <t xml:space="preserve">Compensation, settlement and payment tracking per parcel</t>
  </si>
  <si>
    <t xml:space="preserve">Track offers, settlements and actual payments/awards by parcel and payment type (outgoing and incoming), searchable/reportable by project, party and date range, including offer withdrawals. WSDOT also tracks contractor data and payments per project/acquisition.</t>
  </si>
  <si>
    <t xml:space="preserve">NH DOT ROWMS &amp; Rail Requirements: Tab 2 ROW Agent – row 28 [Required / High]
Idaho ITD RFP Event 85 – ROWMS: §9 Acquisition and Relocation Payments Requirements ['must' requirement (§9)]
WSDOT RFI (2023): Perf. Requirements – Property Acquisition &amp; Relocation Services [RFI – performance requirement list (no priority given)]</t>
  </si>
  <si>
    <t xml:space="preserve">Demo: Negotiation/Condemnation amount breakdowns; payment tracking and 'Payment Recording' (Original SOW) – outgoing/incoming split not evidenced</t>
  </si>
  <si>
    <t xml:space="preserve">ROW-108</t>
  </si>
  <si>
    <t xml:space="preserve">Payment processing</t>
  </si>
  <si>
    <t xml:space="preserve">Payment request, multi-payee and threshold approval</t>
  </si>
  <si>
    <t xml:space="preserve">Generate payment requests to owner, title company, displacee, court or attorney; split across multiple payees by percentage (never above 100%); multiple warrant requests; workflow approval incl. above a user-defined threshold; initiate only after approvals; add interested parties for payments.</t>
  </si>
  <si>
    <t xml:space="preserve">NH DOT ROWMS &amp; Rail Requirements: Tab 2 ROW Agent – row 31 [Required / High]
Idaho ITD RFP Event 85 – ROWMS: §9 Acquisition and Relocation Payments Requirements ['must' requirement (§9)] ×3</t>
  </si>
  <si>
    <t xml:space="preserve">ROW-107, ROW-112</t>
  </si>
  <si>
    <t xml:space="preserve">ROW-109</t>
  </si>
  <si>
    <t xml:space="preserve">Payment methods: warrant/check or EFT</t>
  </si>
  <si>
    <t xml:space="preserve">Request payments as paper check/warrant (returned to ROW or mailed) or EFT to vendor/title company; record warrant numbers and dates.</t>
  </si>
  <si>
    <t xml:space="preserve">Idaho ITD RFP Event 85 – ROWMS: §9 Acquisition and Relocation Payments Requirements ['must' requirement (§9)] ×2</t>
  </si>
  <si>
    <t xml:space="preserve">ROW-110</t>
  </si>
  <si>
    <t xml:space="preserve">Closing scheduling and completion</t>
  </si>
  <si>
    <t xml:space="preserve">Schedule closing after required payments or notification of deposits to title companies; document scheduled closing date and completion of closing.</t>
  </si>
  <si>
    <t xml:space="preserve">Idaho ITD RFP Event 85 – ROWMS: §9 Acquisition and Relocation Payments Requirements ['must' requirement (§9)]; §9 Payment Processing ['must' requirement (§9)] ×2
Austin Transit Partnership RFQ (2025): Scope of Services [RFQ – requirement listed in scope]</t>
  </si>
  <si>
    <t xml:space="preserve">ROW-065, ROW-108</t>
  </si>
  <si>
    <t xml:space="preserve">ROW-111</t>
  </si>
  <si>
    <t xml:space="preserve">Financial integration</t>
  </si>
  <si>
    <t xml:space="preserve">Financial-system integration for payments and compensation</t>
  </si>
  <si>
    <t xml:space="preserve">Integrate with the agency's financial systems to process or verify payments and link appraisal value to offers/payments; Idaho refers to integration with its financial (FS) and asset (AMS) systems.</t>
  </si>
  <si>
    <t xml:space="preserve">NH DOT ROWMS &amp; Rail Requirements: Tab 2 ROW Agent – row 29 [Desired/Optional / High]; Tab 5 Appraisal – row 25 [Required / High]; Tab 7 Administrative – row 50 [Required / High]
Idaho ITD RFP Event 85 – ROWMS: §9 Scope of Work ['must' requirement (§9)]; §9.14 Value Added Services ['must' requirement (§9)]</t>
  </si>
  <si>
    <t xml:space="preserve">NH: FMIS, AASHTOWare; ID: FS/AMS</t>
  </si>
  <si>
    <t xml:space="preserve">NH marks payment-system integration Desired/Optional in T2 but Required in T5 (appraisal-to-compensation link).</t>
  </si>
  <si>
    <t xml:space="preserve">ROW-108, ROW-209</t>
  </si>
  <si>
    <t xml:space="preserve">ROW-112</t>
  </si>
  <si>
    <t xml:space="preserve">Vendor set-up with auto-populated vendor code</t>
  </si>
  <si>
    <t xml:space="preserve">Add vendors for direct payments and auto-populate vendor code from state finance systems (NH First / Data Warehouse / ProMIS / OBIEE integration); integrated billing system.</t>
  </si>
  <si>
    <t xml:space="preserve">NH DOT ROWMS &amp; Rail Requirements: Tab 7 Administrative – row 5 [Required / High]</t>
  </si>
  <si>
    <t xml:space="preserve">NH First; ProMIS; OBIEE; Data Warehouse</t>
  </si>
  <si>
    <t xml:space="preserve">Meaning of the listed NH system names is not explained in the file.</t>
  </si>
  <si>
    <t xml:space="preserve">ROW-014, ROW-018</t>
  </si>
  <si>
    <t xml:space="preserve">ROW-113</t>
  </si>
  <si>
    <t xml:space="preserve">Expenditure tracking by category for FHWA reporting</t>
  </si>
  <si>
    <t xml:space="preserve">Track acquisition and relocation assignments and payments per parcel and for all project expenditures, broken out by acquisition, relocation, taxes, incidental expenses, protective rent and waived acquisition.</t>
  </si>
  <si>
    <t xml:space="preserve">NH DOT ROWMS &amp; Rail Requirements: Tab 2 ROW Agent – row 25 [Required / High]; Tab 9 Reports – row 2 [Required / High]; Tab 9 Reports – row 7 [Required / High]</t>
  </si>
  <si>
    <t xml:space="preserve">FHWA mandated reports</t>
  </si>
  <si>
    <t xml:space="preserve">SOW dashboards: 'Right of Way - Cost Summary Dashboard', 'ROW - Project Cost Summary'</t>
  </si>
  <si>
    <t xml:space="preserve">ROW-114</t>
  </si>
  <si>
    <t xml:space="preserve">Appraised vs. paid compensation comparison</t>
  </si>
  <si>
    <t xml:space="preserve">Report appraised values vs. compensation paid (just compensation vs. settlement/final payment) across parcels or projects.</t>
  </si>
  <si>
    <t xml:space="preserve">NH DOT ROWMS &amp; Rail Requirements: Tab 2 ROW Agent – row 30 [Required / High]; Tab 9 Reports – row 21 [Required / High]</t>
  </si>
  <si>
    <t xml:space="preserve">ROW-043, ROW-107</t>
  </si>
  <si>
    <t xml:space="preserve">ROW-115</t>
  </si>
  <si>
    <t xml:space="preserve">Consultant / contractor management</t>
  </si>
  <si>
    <t xml:space="preserve">Maintain consultant and contractor data (contacts, work completed, payments) and report per consultant/lead agent (status, assigned projects, clearance dates, condemnations, relocations).</t>
  </si>
  <si>
    <t xml:space="preserve">Idaho ITD RFP Event 85 – ROWMS: §9.14 Value Added Services ['must' requirement (§9)]
WSDOT RFI (2023): Perf. Requirements – Property Acquisition &amp; Relocation Services [RFI – performance requirement list (no priority given)]</t>
  </si>
  <si>
    <t xml:space="preserve">Original SOW library: 'Consultant Firms'; Agent Type library</t>
  </si>
  <si>
    <t xml:space="preserve">ROW-116</t>
  </si>
  <si>
    <t xml:space="preserve">Project funds monitoring (fund balance, low-fund alerts, encumbrance)</t>
  </si>
  <si>
    <t xml:space="preserve">On payment requests show the project's fund balance, alert when available funds fall below a user-set threshold, and record expenditures by project, phase and funding source with encumbrance adjustments (all conditional on integration with the finance system).</t>
  </si>
  <si>
    <t xml:space="preserve">C</t>
  </si>
  <si>
    <t xml:space="preserve">Idaho ITD RFP Event 85 – ROWMS: §9.14 Value Added Services [(E) evaluated – 'may have'] ×3</t>
  </si>
  <si>
    <t xml:space="preserve">Idaho: CGI Advantage</t>
  </si>
  <si>
    <t xml:space="preserve">All three Idaho items are optional ('may') value-added services contingent on finance-system integration.</t>
  </si>
  <si>
    <t xml:space="preserve">ROW-004, ROW-108</t>
  </si>
  <si>
    <t xml:space="preserve">ROW-117</t>
  </si>
  <si>
    <t xml:space="preserve">Property &amp; Asset Management</t>
  </si>
  <si>
    <t xml:space="preserve">Inventory &amp; Lifecycle</t>
  </si>
  <si>
    <t xml:space="preserve">Inventory</t>
  </si>
  <si>
    <t xml:space="preserve">Real-property inventory linked to acquisition history</t>
  </si>
  <si>
    <t xml:space="preserve">Maintain an inventory of properties (ROW and non-ROW; active and surplus) with location, geospatial data, description, structures and other attributes, linked back to historical acquisition information; ATX wants a real-property asset database for the organization.</t>
  </si>
  <si>
    <t xml:space="preserve">NH DOT ROWMS &amp; Rail Requirements: Tab 6 Property Mgmt – row 3 [Required / High]; Tab 6 Property Mgmt – row 20 [Required / High]
Idaho ITD RFP Event 85 – ROWMS: §9 Property Management Requirements ['must' requirement (§9)]
NMDOT RFP 06-0100: App. A §1 Introduction [SOW scope item / RFP purpose]
Austin Transit Partnership RFQ (2025): Scope – I. Project Goals [RFQ – requirement listed in scope]
Osceola County BRD §6.1.7 (real estate/ROW): BRD §6.1.7/§7.1 – Req 1166 [Must Have]</t>
  </si>
  <si>
    <t xml:space="preserve">Original SOW: 'Property Management (Inventory)' &gt; Parcel, Inventory; SOW report 'Inventory Summary Report'</t>
  </si>
  <si>
    <t xml:space="preserve">The Pro SOW sheet lists Inventory/Sales/Lease reports but not the Property Management forms; those forms appear only in the Original SOW sheet.</t>
  </si>
  <si>
    <t xml:space="preserve">ROW-065, ROW-107</t>
  </si>
  <si>
    <t xml:space="preserve">ROW-118</t>
  </si>
  <si>
    <t xml:space="preserve">Parcel lifecycle status (acquisition to disposal/lease)</t>
  </si>
  <si>
    <t xml:space="preserve">Track a parcel from acquisition through active use, surplus designation and disposal or lease; track all property types and status, purchase date and (for structures) keys, utilities cancelled, etc.</t>
  </si>
  <si>
    <t xml:space="preserve">NH DOT ROWMS &amp; Rail Requirements: Tab 6 Property Mgmt – row 4 [Required / High]
Idaho ITD RFP Event 85 – ROWMS: §9 Scope of Work ['must' requirement (§9)]</t>
  </si>
  <si>
    <t xml:space="preserve">ROW-119</t>
  </si>
  <si>
    <t xml:space="preserve">Area accounting (acquired vs. remaining vs. sold/leased)</t>
  </si>
  <si>
    <t xml:space="preserve">Maintain the original area acquired, the area remaining and what part has been sold, rented, leased or otherwise committed.</t>
  </si>
  <si>
    <t xml:space="preserve">WSDOT RFI (2023): Perf. Requirements – Property Acquisition &amp; Relocation Services [RFI – performance requirement list (no priority given)]</t>
  </si>
  <si>
    <t xml:space="preserve">ROW-120</t>
  </si>
  <si>
    <t xml:space="preserve">Remnant / excess-land inventory</t>
  </si>
  <si>
    <t xml:space="preserve">Maintain an inventory of ROW acquired beyond project need (remnants) with geospatial location and structures, linked to acquisition history.</t>
  </si>
  <si>
    <t xml:space="preserve">NH DOT ROWMS &amp; Rail Requirements: Tab 6 Property Mgmt – row 7 [Desired / Medium]
Idaho ITD RFP Event 85 – ROWMS: §9 Property Management Requirements ['must' requirement (§9)]</t>
  </si>
  <si>
    <t xml:space="preserve">ROW-007, ROW-117</t>
  </si>
  <si>
    <t xml:space="preserve">ROW-121</t>
  </si>
  <si>
    <t xml:space="preserve">Duplicate surplus-property detection</t>
  </si>
  <si>
    <t xml:space="preserve">Detect duplicate surplus property records.</t>
  </si>
  <si>
    <t xml:space="preserve">NH DOT ROWMS &amp; Rail Requirements: Tab 6 Property Mgmt – row 8 [Required / High]</t>
  </si>
  <si>
    <t xml:space="preserve">ROW-122</t>
  </si>
  <si>
    <t xml:space="preserve">Legacy parcel-ID / ROW numbering support</t>
  </si>
  <si>
    <t xml:space="preserve">Keep using the parcel ID convention and legacy ROW numbering or property identifiers in use today.</t>
  </si>
  <si>
    <t xml:space="preserve">NH DOT ROWMS &amp; Rail Requirements: Tab 6 Property Mgmt – row 31 [Required / High]
Idaho ITD RFP Event 85 – ROWMS: §9 Property Management Requirements [(ME) mandatory &amp; evaluated]</t>
  </si>
  <si>
    <t xml:space="preserve">ROW-117, ROW-203</t>
  </si>
  <si>
    <t xml:space="preserve">ROW-123</t>
  </si>
  <si>
    <t xml:space="preserve">Property search by user-defined criteria (incl. public land survey fields)</t>
  </si>
  <si>
    <t xml:space="preserve">Search inventory by district, county, route/milepost, key number, project, owner, maintenance yard, material source, parcel ID, section/township/range/quarter, etc.; show results in a GIS viewer and drill down.</t>
  </si>
  <si>
    <t xml:space="preserve">NH DOT ROWMS &amp; Rail Requirements: Tab 6 Property Mgmt – row 23 [Required / High]
Idaho ITD RFP Event 85 – ROWMS: §9 Property Management Requirements ['must' requirement (§9)]; §9 Property Management Requirements [(ME) mandatory &amp; evaluated]</t>
  </si>
  <si>
    <t xml:space="preserve">ROW-117, ROW-185</t>
  </si>
  <si>
    <t xml:space="preserve">ROW-124</t>
  </si>
  <si>
    <t xml:space="preserve">Property-use / facility integration (use agreements, work orders)</t>
  </si>
  <si>
    <t xml:space="preserve">For inventory properties with structures managed for a period, use property use agreements, leases, work orders and other tracking functions.</t>
  </si>
  <si>
    <t xml:space="preserve">Idaho ITD RFP Event 85 – ROWMS: §9 Property Management Requirements ['must' requirement (§9)]</t>
  </si>
  <si>
    <t xml:space="preserve">ROW-117, ROW-209</t>
  </si>
  <si>
    <t xml:space="preserve">ROW-125</t>
  </si>
  <si>
    <t xml:space="preserve">Leases &amp; Use Agreements</t>
  </si>
  <si>
    <t xml:space="preserve">Leases</t>
  </si>
  <si>
    <t xml:space="preserve">Lease management (create, track, expire)</t>
  </si>
  <si>
    <t xml:space="preserve">Create and manage leases on project properties and other leasing opportunities or requests for agency property; track lease and insurance expirations; track costs for each rented property.</t>
  </si>
  <si>
    <t xml:space="preserve">NH DOT ROWMS &amp; Rail Requirements: Tab 6 Property Mgmt – row 10 [Required / High]; Tab 6 Property Mgmt – row 11 [Required / High]
Idaho ITD RFP Event 85 – ROWMS: §9 Property Management Requirements ['must' requirement (§9)]
WSDOT RFI (2023): Perf. Requirements – Property Management [RFI – performance requirement list (no priority given)]
Osceola County BRD §6.1.7 (real estate/ROW): BRD §6.1.7/§7.1 – Req 1145 [Must Have]</t>
  </si>
  <si>
    <t xml:space="preserve">Original SOW: 'Lease', 'Lease Agreement', 'Lease Payments'; SOW report 'Lease Revenue Report'</t>
  </si>
  <si>
    <t xml:space="preserve">ROW-126</t>
  </si>
  <si>
    <t xml:space="preserve">Lease billing, rent rolls, payment schedules and invoicing</t>
  </si>
  <si>
    <t xml:space="preserve">Create rent rolls, payment schedules and compliance schedules configurable to the financial system; auto-generate invoices on calendar dates; track payments against balance due; monthly billing and accounting.</t>
  </si>
  <si>
    <t xml:space="preserve">Idaho ITD RFP Event 85 – ROWMS: §9 Property Management Requirements ['must' requirement (§9)]
WSDOT RFI (2023): Perf. Requirements – Property Management [RFI – performance requirement list (no priority given)]
Osceola County BRD §6.1.7 (real estate/ROW): BRD §6.1.7/§7.1 – Req 1146 [Must Have]; BRD §6.1.7/§7.1 – Req 1148 [Must Have]; BRD §6.1.7/§7.1 – Req 1149 [Should Have]</t>
  </si>
  <si>
    <t xml:space="preserve">Original SOW: 'Lease Payments', 'Payment Recording'; invoicing/rent-roll not evidenced</t>
  </si>
  <si>
    <t xml:space="preserve">ROW-108, ROW-125</t>
  </si>
  <si>
    <t xml:space="preserve">ROW-127</t>
  </si>
  <si>
    <t xml:space="preserve">Rent recalculation from index data at renewal</t>
  </si>
  <si>
    <t xml:space="preserve">Recalculate rent/lease transactions when index data changes at renewal.</t>
  </si>
  <si>
    <t xml:space="preserve">WSDOT RFI (2023): Perf. Requirements – Property Management [RFI – performance requirement list (no priority given)]</t>
  </si>
  <si>
    <t xml:space="preserve">ROW-128</t>
  </si>
  <si>
    <t xml:space="preserve">Market-rent integration for rent recommendations</t>
  </si>
  <si>
    <t xml:space="preserve">Integrate MLS current market rental rates to recommend rent.</t>
  </si>
  <si>
    <t xml:space="preserve">NH DOT ROWMS &amp; Rail Requirements: Tab 6 Property Mgmt – row 38 [Required / High]</t>
  </si>
  <si>
    <t xml:space="preserve">MLS</t>
  </si>
  <si>
    <t xml:space="preserve">ROW-129</t>
  </si>
  <si>
    <t xml:space="preserve">Compliance factors and expiry alerts (insurance, licenses)</t>
  </si>
  <si>
    <t xml:space="preserve">Apply user-defined compliance factors to leases/agreements/properties; alert ahead of expiry of required items (licenses, certificates of insurance); alerts for payments, violations, terminations. OSC example: 30 days ahead, configurable.</t>
  </si>
  <si>
    <t xml:space="preserve">NH DOT ROWMS &amp; Rail Requirements: Tab 6 Property Mgmt – row 11 [Required / High]; Tab 6 Property Mgmt – row 37 [Required / High]
Osceola County BRD §6.1.7 (real estate/ROW): BRD §6.1.7/§7.1 – Req 1147 [Must Have]; BRD §6.1.7/§7.1 – Req 1150 [Must Have]; BRD §6.1.7/§7.1 – Req 1151 [Must Have]</t>
  </si>
  <si>
    <t xml:space="preserve">ROW-125, ROW-170</t>
  </si>
  <si>
    <t xml:space="preserve">ROW-130</t>
  </si>
  <si>
    <t xml:space="preserve">Use agreements</t>
  </si>
  <si>
    <t xml:space="preserve">Use agreements, TU&amp;O, encroachments and alternative-use agreements</t>
  </si>
  <si>
    <t xml:space="preserve">Manage use agreements and TU&amp;O/encroachment/alternative-use agreements with start/expiry tracking, selected-user access, compliance factors, payments and alerts.</t>
  </si>
  <si>
    <t xml:space="preserve">NH DOT ROWMS &amp; Rail Requirements: Tab 6 Property Mgmt – row 18 [Required / High]
Osceola County BRD §6.1.7 (real estate/ROW): BRD §6.1.7/§7.1 – Req 1158 [Must Have]; BRD §6.1.7/§7.1 – Req 1155 [Must Have]</t>
  </si>
  <si>
    <t xml:space="preserve">'TU&amp;O' is used in NH T6!R18 without a definition.</t>
  </si>
  <si>
    <t xml:space="preserve">ROW-131</t>
  </si>
  <si>
    <t xml:space="preserve">Franchise agreements, general-use permits and access permits</t>
  </si>
  <si>
    <t xml:space="preserve">Process, track and manage utility franchise agreements, general-use permits, and access permits and agreements.</t>
  </si>
  <si>
    <t xml:space="preserve">WSDOT RFI (2023): Perf. Requirements – Property Management [RFI – performance requirement list (no priority given)] ×3</t>
  </si>
  <si>
    <t xml:space="preserve">ROW-132</t>
  </si>
  <si>
    <t xml:space="preserve">Public advertisement of available leasable property/agreements</t>
  </si>
  <si>
    <t xml:space="preserve">Track and publicly advertise available leasable property, use-agreement property and managed properties.</t>
  </si>
  <si>
    <t xml:space="preserve">Osceola County BRD §6.1.7 (real estate/ROW): BRD §6.1.7/§7.1 – Req 1153 [Must Have]; BRD §6.1.7/§7.1 – Req 1165 [Must Have]; BRD §6.1.7/§7.1 – Req 1173 [Must Have]</t>
  </si>
  <si>
    <t xml:space="preserve">ROW-125, ROW-173</t>
  </si>
  <si>
    <t xml:space="preserve">ROW-133</t>
  </si>
  <si>
    <t xml:space="preserve">Internal / external requests for leases, agreements and property</t>
  </si>
  <si>
    <t xml:space="preserve">Allow internal and external (County and civilian) users to request leases, agreements or managed properties.</t>
  </si>
  <si>
    <t xml:space="preserve">Osceola County BRD §6.1.7 (real estate/ROW): BRD §6.1.7/§7.1 – Req 1152 [Must Have]; BRD §6.1.7/§7.1 – Req 1163 [Must Have]; BRD §6.1.7/§7.1 – Req 1172 [Must Have]</t>
  </si>
  <si>
    <t xml:space="preserve">ROW-117, ROW-165</t>
  </si>
  <si>
    <t xml:space="preserve">ROW-134</t>
  </si>
  <si>
    <t xml:space="preserve">Annual letters</t>
  </si>
  <si>
    <t xml:space="preserve">Create annual letters.</t>
  </si>
  <si>
    <t xml:space="preserve">NH DOT ROWMS &amp; Rail Requirements: Tab 6 Property Mgmt – row 17 [Required / High]</t>
  </si>
  <si>
    <t xml:space="preserve">NH gives no description of what the annual letters are.</t>
  </si>
  <si>
    <t xml:space="preserve">ROW-125, ROW-175</t>
  </si>
  <si>
    <t xml:space="preserve">ROW-135</t>
  </si>
  <si>
    <t xml:space="preserve">Lease and tenant compliance reporting</t>
  </si>
  <si>
    <t xml:space="preserve">Reports on leases (lessee, type, start/expiry, rent, responsibilities), current rent roll and tenant compliance/payment roster, upcoming and passed expirations.</t>
  </si>
  <si>
    <t xml:space="preserve">NH DOT ROWMS &amp; Rail Requirements: Tab 6 Property Mgmt – row 21 [Required / High]
Idaho ITD RFP Event 85 – ROWMS: §9.14 Value Added Services ['must' requirement (§9)]
Osceola County BRD §6.1.7 (real estate/ROW): BRD §6.1.7/§7.1 – Req 1179 [Must Have]; BRD §6.1.7/§7.1 – Req 1180 [Must Have]</t>
  </si>
  <si>
    <t xml:space="preserve">SOW report: 'Lease Revenue Report'</t>
  </si>
  <si>
    <t xml:space="preserve">ROW-125, ROW-189</t>
  </si>
  <si>
    <t xml:space="preserve">ROW-136</t>
  </si>
  <si>
    <t xml:space="preserve">Inspections &amp; Maintenance</t>
  </si>
  <si>
    <t xml:space="preserve">Inspections</t>
  </si>
  <si>
    <t xml:space="preserve">Property inspection scheduling, tracking and photos</t>
  </si>
  <si>
    <t xml:space="preserve">Schedule and track routine property inspections with annotations and photo upload; store inspection forms/pictures searchable by GIS, project, parcel, owner, town; report planned vs. actual inspections.</t>
  </si>
  <si>
    <t xml:space="preserve">NH DOT ROWMS &amp; Rail Requirements: Tab 6 Property Mgmt – row 12 [Required / High]; Tab 6 Property Mgmt – row 34 [Required / High]
Osceola County BRD §6.1.7 (real estate/ROW): BRD §6.1.7/§7.1 – Req 1174 [Must Have]; BRD §6.1.7/§7.1 – Req 1181 [Must Have]</t>
  </si>
  <si>
    <t xml:space="preserve">Demo: Inspection form (auto-numbered; inspector, items grid)</t>
  </si>
  <si>
    <t xml:space="preserve">ROW-117, ROW-162</t>
  </si>
  <si>
    <t xml:space="preserve">ROW-137</t>
  </si>
  <si>
    <t xml:space="preserve">Inspection mileage logging to finance</t>
  </si>
  <si>
    <t xml:space="preserve">Log miles driven on inspections and automatically enter that data into the financial system.</t>
  </si>
  <si>
    <t xml:space="preserve">NH DOT ROWMS &amp; Rail Requirements: Tab 6 Property Mgmt – row 35 [Required / High]</t>
  </si>
  <si>
    <t xml:space="preserve">ROW-111, ROW-136</t>
  </si>
  <si>
    <t xml:space="preserve">ROW-138</t>
  </si>
  <si>
    <t xml:space="preserve">Work-order system integration</t>
  </si>
  <si>
    <t xml:space="preserve">Integrate with the agency's work order system for property work (also asked by Calgary for permits and by Idaho for managed facilities).</t>
  </si>
  <si>
    <t xml:space="preserve">NH DOT ROWMS &amp; Rail Requirements: Tab 6 Property Mgmt – row 36 [Required / High]</t>
  </si>
  <si>
    <t xml:space="preserve">NH: unnamed work order system; Calgary: existing City work order system</t>
  </si>
  <si>
    <t xml:space="preserve">Yes – City of Calgary RFI 25-006</t>
  </si>
  <si>
    <t xml:space="preserve">ROW-136, ROW-209</t>
  </si>
  <si>
    <t xml:space="preserve">ROW-139</t>
  </si>
  <si>
    <t xml:space="preserve">Surplus &amp; Disposal</t>
  </si>
  <si>
    <t xml:space="preserve">Surplus</t>
  </si>
  <si>
    <t xml:space="preserve">Surplus declaration and disposal process</t>
  </si>
  <si>
    <t xml:space="preserve">Support declaring property surplus and managing the surplus/sale process: parcels acquired for projects tracked and added to potential surplus land, surplus land tracked, status reports per surplus process, state surplus procedures.</t>
  </si>
  <si>
    <t xml:space="preserve">NH DOT ROWMS &amp; Rail Requirements: Tab 1 General – row 43 [Required / High]; Tab 1 General – row 44 [Required / High]; Tab 9 Reports – row 11 [Required / High]
Idaho ITD RFP Event 85 – ROWMS: §9 General Requirements: ['must' requirement (§9)]
WSDOT RFI (2023): Perf. Requirements – Property Management [RFI – performance requirement list (no priority given)]</t>
  </si>
  <si>
    <t xml:space="preserve">State surplus procedures (RSAs) per NH</t>
  </si>
  <si>
    <t xml:space="preserve">Original SOW: 'Sale', 'Sale Agreement'; surplus designation workflow not evidenced</t>
  </si>
  <si>
    <t xml:space="preserve">ROW-117, ROW-118</t>
  </si>
  <si>
    <t xml:space="preserve">ROW-140</t>
  </si>
  <si>
    <t xml:space="preserve">Sales</t>
  </si>
  <si>
    <t xml:space="preserve">Property sale and FHWA approval tracking</t>
  </si>
  <si>
    <t xml:space="preserve">Support the surplus process and sale of property while retaining data; coordinate FHWA approval; track required paperwork.</t>
  </si>
  <si>
    <t xml:space="preserve">WSDOT RFI (2023): Perf. Requirements – Sales [RFI – performance requirement list (no priority given)] ×3</t>
  </si>
  <si>
    <t xml:space="preserve">FHWA approval</t>
  </si>
  <si>
    <t xml:space="preserve">Original SOW: 'Sale', 'Sale Agreement', 'Payment Recording'; SOW report 'Sales Summary Report'</t>
  </si>
  <si>
    <t xml:space="preserve">ROW-141</t>
  </si>
  <si>
    <t xml:space="preserve">Sold-property tracking and surplus sale/donation reports</t>
  </si>
  <si>
    <t xml:space="preserve">Searchable record of sold properties by quarter/year; surplus sales/donations reports by district/period (grantee, recording info, acreage, sale price, fees); biennial and annual versions.</t>
  </si>
  <si>
    <t xml:space="preserve">NH DOT ROWMS &amp; Rail Requirements: Tab 6 Property Mgmt – row 24 [Required / High]
Idaho ITD RFP Event 85 – ROWMS: §9.14 Value Added Services ['must' requirement (§9)]</t>
  </si>
  <si>
    <t xml:space="preserve">SOW report: 'Sales Summary Report'</t>
  </si>
  <si>
    <t xml:space="preserve">ROW-142</t>
  </si>
  <si>
    <t xml:space="preserve">Property compliance tracking (annual inventory, state buildings, environmental)</t>
  </si>
  <si>
    <t xml:space="preserve">Track compliance for annual property inventory, state-owned buildings, state surplus procedures and environmental clearances.</t>
  </si>
  <si>
    <t xml:space="preserve">NH DOT ROWMS &amp; Rail Requirements: Tab 6 Property Mgmt – row 22 [Required / High]</t>
  </si>
  <si>
    <t xml:space="preserve">ROW-143</t>
  </si>
  <si>
    <t xml:space="preserve">Property financials: lease revenue, maintenance cost, disposal proceeds</t>
  </si>
  <si>
    <t xml:space="preserve">Track lease revenues, property maintenance costs and disposal proceeds by region, project and time frame.</t>
  </si>
  <si>
    <t xml:space="preserve">NH DOT ROWMS &amp; Rail Requirements: Tab 6 Property Mgmt – row 21 [Required / High]</t>
  </si>
  <si>
    <t xml:space="preserve">ROW-126, ROW-140</t>
  </si>
  <si>
    <t xml:space="preserve">ROW-144</t>
  </si>
  <si>
    <t xml:space="preserve">Property inventory reports (active and surplus, by region/district/user parameters)</t>
  </si>
  <si>
    <t xml:space="preserve">Inventory reports of active and surplus properties by region, district, project or user-created parameters (size, value), with GIS search; comprehensive managed-property reports.</t>
  </si>
  <si>
    <t xml:space="preserve">NH DOT ROWMS &amp; Rail Requirements: Tab 6 Property Mgmt – row 20 [Required / High]
Idaho ITD RFP Event 85 – ROWMS: §9.14 Value Added Services ['must' requirement (§9)]
Osceola County BRD §6.1.7 (real estate/ROW): BRD §6.1.7/§7.1 – Req 1188 [Must Have]</t>
  </si>
  <si>
    <t xml:space="preserve">SOW report: 'Inventory Summary Report'</t>
  </si>
  <si>
    <t xml:space="preserve">ROW-117, ROW-189</t>
  </si>
  <si>
    <t xml:space="preserve">ROW-145</t>
  </si>
  <si>
    <t xml:space="preserve">Rail &amp; Transit (NH-specific)</t>
  </si>
  <si>
    <t xml:space="preserve">Rail</t>
  </si>
  <si>
    <t xml:space="preserve">Railroad crossing agreement management</t>
  </si>
  <si>
    <t xml:space="preserve">Manage railroad crossing agreements.</t>
  </si>
  <si>
    <t xml:space="preserve">NH DOT ROWMS &amp; Rail Requirements: Tab 8 Rail &amp; Transit – row 47 [Required / High]</t>
  </si>
  <si>
    <t xml:space="preserve">ROW-146</t>
  </si>
  <si>
    <t xml:space="preserve">Preserve existing Rail data (valuation maps, Rail Access database)</t>
  </si>
  <si>
    <t xml:space="preserve">Preserve existing data including associated intelligence, valuation maps and the RAIL Access database.</t>
  </si>
  <si>
    <t xml:space="preserve">NH DOT ROWMS &amp; Rail Requirements: Tab 8 Rail &amp; Transit – row 40 [Required / High]; Tab 8 Rail &amp; Transit – row 41 [Required / High]; Tab 8 Rail &amp; Transit – row 42 [Required / High]</t>
  </si>
  <si>
    <t xml:space="preserve">ROW-203</t>
  </si>
  <si>
    <t xml:space="preserve">ROW-147</t>
  </si>
  <si>
    <t xml:space="preserve">Rail long-range and G&amp;C reports</t>
  </si>
  <si>
    <t xml:space="preserve">Rail reports: Long Range (Required) and G&amp;C (Desired/Optional); annual Long Range Capital Planning &amp; Utilization report on status of items approved by the Committee.</t>
  </si>
  <si>
    <t xml:space="preserve">NH DOT ROWMS &amp; Rail Requirements: Tab 8 Rail &amp; Transit – row 44 [Required / High]; Tab 8 Rail &amp; Transit – row 45 [Desired/Optional / Medium]; Tab 9 Reports – row 23 [Required / Medium]; Tab 8 Rail &amp; Transit – row 38 [Required / High]</t>
  </si>
  <si>
    <t xml:space="preserve">'Long Range', 'G&amp;C' and 'the Committee' are not defined in the file.</t>
  </si>
  <si>
    <t xml:space="preserve">ROW-189</t>
  </si>
  <si>
    <t xml:space="preserve">ROW-148</t>
  </si>
  <si>
    <t xml:space="preserve">Rail mapping data layers (valuation maps, town property maps, trails, RR layers)</t>
  </si>
  <si>
    <t xml:space="preserve">Use valuation maps, town property maps, trails and railroad GIS layers; integrate with external map providers.</t>
  </si>
  <si>
    <t xml:space="preserve">NH DOT ROWMS &amp; Rail Requirements: Tab 8 Rail &amp; Transit – row 13 [Required / High]; Tab 8 Rail &amp; Transit – row 14 [Required / High]; Tab 8 Rail &amp; Transit – row 25 [Required / High]; Tab 8 Rail &amp; Transit – row 26 [Required / High]; +4 more (see Traceability)</t>
  </si>
  <si>
    <t xml:space="preserve">Trails and RR GIS layers</t>
  </si>
  <si>
    <t xml:space="preserve">NH T8 also lists 'SADES', 'ortho' and 'datum' as Required items with no explanation; I do not know what these refer to.</t>
  </si>
  <si>
    <t xml:space="preserve">ROW-180</t>
  </si>
  <si>
    <t xml:space="preserve">ROW-149</t>
  </si>
  <si>
    <t xml:space="preserve">Rail integration with named NH systems</t>
  </si>
  <si>
    <t xml:space="preserve">Integrate with SharePoint and Mosaic (NH Granite) (Required); WOFI, MTS, NHFirst (Lawson), ProMIS, OBIEE (Optional/Low).</t>
  </si>
  <si>
    <t xml:space="preserve">NH DOT ROWMS &amp; Rail Requirements: Tab 8 Rail &amp; Transit – row 5 [Required / High]; Tab 8 Rail &amp; Transit – row 6 [Required / High]; Tab 8 Rail &amp; Transit – row 7 [Optional / Low]; Tab 8 Rail &amp; Transit – row 8 [Optional / Low]; +4 more (see Traceability)</t>
  </si>
  <si>
    <t xml:space="preserve">SharePoint; Mosaic (NH Granite); WOFI; MTS; NHFirst (Lawson); ProMIS; OBIEE</t>
  </si>
  <si>
    <t xml:space="preserve">WOFI, MTS and Mosaic are not described in the file.</t>
  </si>
  <si>
    <t xml:space="preserve">ROW-209</t>
  </si>
  <si>
    <t xml:space="preserve">ROW-150</t>
  </si>
  <si>
    <t xml:space="preserve">Utilities</t>
  </si>
  <si>
    <t xml:space="preserve">Utility Coordination &amp; Agreements</t>
  </si>
  <si>
    <t xml:space="preserve">Utility relocation</t>
  </si>
  <si>
    <t xml:space="preserve">Utility relocation tracking</t>
  </si>
  <si>
    <t xml:space="preserve">Track utility relocations and determine the extent of relocations on projects.</t>
  </si>
  <si>
    <t xml:space="preserve">Original SOW (Utilities sheet, priced add-on): 'Utility Relocation'</t>
  </si>
  <si>
    <t xml:space="preserve">ROW-005, ROW-154</t>
  </si>
  <si>
    <t xml:space="preserve">ROW-151</t>
  </si>
  <si>
    <t xml:space="preserve">Utility coordination</t>
  </si>
  <si>
    <t xml:space="preserve">Utility coordination and task tracking</t>
  </si>
  <si>
    <t xml:space="preserve">Liaise with utility companies for timely information exchange; share ROW utility-occupancy policy and procedural guidance; track utility tasks and communications.</t>
  </si>
  <si>
    <t xml:space="preserve">Original SOW (Utilities): 'Utility - Utility Coordination', 'Utility - Task Tracker'</t>
  </si>
  <si>
    <t xml:space="preserve">ROW-154, ROW-166</t>
  </si>
  <si>
    <t xml:space="preserve">ROW-152</t>
  </si>
  <si>
    <t xml:space="preserve">Utility agreements</t>
  </si>
  <si>
    <t xml:space="preserve">Utility agreements and reimbursement eligibility</t>
  </si>
  <si>
    <t xml:space="preserve">Determine compensable vs non-compensable costs, capture costs and submit them to NMDOT's STIP Bureau and/or Project Oversight Division, and apply NMAC 17.4.2 criteria to determine eligibility for utility relocation cost reimbursement.</t>
  </si>
  <si>
    <t xml:space="preserve">NMDOT RFP 06-0100: App. A §1 Introduction [SOW scope item / RFP purpose]; App. A §2 Project Objectives [SOW project objective ('system should')]</t>
  </si>
  <si>
    <t xml:space="preserve">NMAC 17.4.2 (NM)</t>
  </si>
  <si>
    <t xml:space="preserve">Original SOW (Utilities): 'Utility - Utility Agreement'; report 'Utility Agreement Report'</t>
  </si>
  <si>
    <t xml:space="preserve">ROW-154, ROW-157</t>
  </si>
  <si>
    <t xml:space="preserve">ROW-153</t>
  </si>
  <si>
    <t xml:space="preserve">Utility data</t>
  </si>
  <si>
    <t xml:space="preserve">Subsurface Utility Engineering (SUE) data</t>
  </si>
  <si>
    <t xml:space="preserve">Use SUE data (exact location of underground utilities) to show accurate construction plans and reduce conflicts, delays and relocation reimbursement costs.</t>
  </si>
  <si>
    <t xml:space="preserve">NM only names SUE as a business process; it does not list required SUE functions.</t>
  </si>
  <si>
    <t xml:space="preserve">ROW-154</t>
  </si>
  <si>
    <t xml:space="preserve">Utility company, contact and type registry</t>
  </si>
  <si>
    <t xml:space="preserve">Maintain libraries of utility companies, contacts and utility types.</t>
  </si>
  <si>
    <t xml:space="preserve">Original SOW (Utilities): libraries 'Utility Companies', 'Utility Contact', 'Utility Type'</t>
  </si>
  <si>
    <t xml:space="preserve">ROW-001, ROW-212</t>
  </si>
  <si>
    <t xml:space="preserve">ROW-155</t>
  </si>
  <si>
    <t xml:space="preserve">Utility location / GIS information and 3-D conflict analysis</t>
  </si>
  <si>
    <t xml:space="preserve">Capture utility location data in GIS; spatial analysis for conflict detection and planning; 3-D mapping where required.</t>
  </si>
  <si>
    <t xml:space="preserve">NMDOT RFP 06-0100: App. A §3.2.4 [SOW scope item / RFP purpose] ×2</t>
  </si>
  <si>
    <t xml:space="preserve">Original SOW (Utilities): 'Utility - GIS/Location information'; 3-D mapping not evidenced</t>
  </si>
  <si>
    <t xml:space="preserve">ROW-150, ROW-180</t>
  </si>
  <si>
    <t xml:space="preserve">ROW-156</t>
  </si>
  <si>
    <t xml:space="preserve">Utility reports</t>
  </si>
  <si>
    <t xml:space="preserve">Utility reports (agreements, conflict cost, performance, contacts)</t>
  </si>
  <si>
    <t xml:space="preserve">Reports on utility agreements, conflict cost estimate analysis, utility performance and contacts; task-status report.</t>
  </si>
  <si>
    <t xml:space="preserve">Original SOW (Utilities): four enterprise-level reports</t>
  </si>
  <si>
    <t xml:space="preserve">ROW-150, ROW-152</t>
  </si>
  <si>
    <t xml:space="preserve">Platform &amp; Cross-cutting</t>
  </si>
  <si>
    <t xml:space="preserve">Document Management</t>
  </si>
  <si>
    <t xml:space="preserve">Repository</t>
  </si>
  <si>
    <t xml:space="preserve">Central document repository organised by project / parcel</t>
  </si>
  <si>
    <t xml:space="preserve">A centralized, secure repository for ROW files (appraisals, offers, easements, relocation docs, legal, condemnation, plans) broken down by project, parcel and agent notes; read-only access for broader staff; link documents to ROW records.</t>
  </si>
  <si>
    <t xml:space="preserve">NH DOT ROWMS &amp; Rail Requirements: Tab 1 General – row 2 [Required / High]; Tab 6 Property Mgmt – row 14 [Required / High]; Tab 7 Administrative – row 12 [Required / High]; Tab 3 Survey – row 6 [Required / High]; +1 more (see Traceability)
NMDOT RFP 06-0100: App. A §3.2.1 [SOW scope item / RFP purpose]
Austin Transit Partnership RFQ (2025): Scope – A. Data Management [RFQ – requirement listed in scope]; Scope – IV. Data Requirements [RFQ – requirement listed in scope]
Osceola County BRD §6.1.7 (real estate/ROW): BRD §6.1.7/§7.1 – Req 1193 [Must Have]</t>
  </si>
  <si>
    <t xml:space="preserve">Deck: Masterworks platform lists 'Document management'</t>
  </si>
  <si>
    <t xml:space="preserve">ROW-005, ROW-212</t>
  </si>
  <si>
    <t xml:space="preserve">ROW-158</t>
  </si>
  <si>
    <t xml:space="preserve">Document tagging, categorisation and metadata</t>
  </si>
  <si>
    <t xml:space="preserve">Tag or categorize documents by parcel number, project ID and transaction type (lease, sale, temporary easement); filter and tag by region, project, status.</t>
  </si>
  <si>
    <t xml:space="preserve">NH DOT ROWMS &amp; Rail Requirements: Tab 6 Property Mgmt – row 15 [Required / High]; Tab 7 Administrative – row 19 [Required / High]</t>
  </si>
  <si>
    <t xml:space="preserve">ROW-159</t>
  </si>
  <si>
    <t xml:space="preserve">Scanning with OCR and bulk import/export</t>
  </si>
  <si>
    <t xml:space="preserve">Easy scanning/upload of paper records with OCR; bulk import/export of editable documents; retrieve documents already stored in agency databases and file servers.</t>
  </si>
  <si>
    <t xml:space="preserve">NH DOT ROWMS &amp; Rail Requirements: Tab 7 Administrative – row 13 [Required / High]; Tab 7 Administrative – row 14 [Required / High]
Osceola County BRD §6.1.7 (real estate/ROW): BRD §6.1.7/§7.1 – Req 1194 [Must Have]</t>
  </si>
  <si>
    <t xml:space="preserve">ROW-157, ROW-158</t>
  </si>
  <si>
    <t xml:space="preserve">ROW-160</t>
  </si>
  <si>
    <t xml:space="preserve">Versioning</t>
  </si>
  <si>
    <t xml:space="preserve">Document version control, annotation and approval routing</t>
  </si>
  <si>
    <t xml:space="preserve">Automated version control of edits/approvals (shareable among agencies), annotation and retention of documents in workflow, routing for review &gt; sign-off &gt; archive, multi-level approval, and status-of-documents-in-workflow reporting.</t>
  </si>
  <si>
    <t xml:space="preserve">NH DOT ROWMS &amp; Rail Requirements: Tab 7 Administrative – row 15 [Required / High]; Tab 7 Administrative – row 16 [Required / n/a]
Osceola County BRD §6.1.7 (real estate/ROW): BRD §6.1.7/§7.1 – Req 1195 [Must Have]; BRD §6.1.7/§7.1 – Req 1196 [Must Have]; BRD §6.1.7/§7.1 – Req 1204 [Must Have]; BRD §6.1.7/§7.1 – Req 1197 [Must Have]</t>
  </si>
  <si>
    <t xml:space="preserve">ROW-161</t>
  </si>
  <si>
    <t xml:space="preserve">Integration with external document management system</t>
  </si>
  <si>
    <t xml:space="preserve">Store project documents in the agency's DMS (e.g., ProjectWise folders per project) or export to a third-party document system.</t>
  </si>
  <si>
    <t xml:space="preserve">Idaho ITD RFP Event 85 – ROWMS: §9 Project Information Requirements ['must' requirement (§9)]; §9.14 Value Added Services ['must' requirement (§9)]
Austin Transit Partnership RFQ (2025): Scope – A. Data Management [RFQ – requirement listed in scope]</t>
  </si>
  <si>
    <t xml:space="preserve">ProjectWise (Idaho)</t>
  </si>
  <si>
    <t xml:space="preserve">ROW-162</t>
  </si>
  <si>
    <t xml:space="preserve">Photo storage and categorisation (incl. HEIC)</t>
  </si>
  <si>
    <t xml:space="preserve">Store, categorize and download pictures (including HEIC) attached to a project/parcel and include them in reports.</t>
  </si>
  <si>
    <t xml:space="preserve">Idaho ITD RFP Event 85 – ROWMS: §9 Management Reporting - General ['must' requirement (§9)]</t>
  </si>
  <si>
    <t xml:space="preserve">ROW-163</t>
  </si>
  <si>
    <t xml:space="preserve">Document expiration tracking</t>
  </si>
  <si>
    <t xml:space="preserve">Track expiry of documents such as appraisals, leases and permits.</t>
  </si>
  <si>
    <t xml:space="preserve">NH DOT ROWMS &amp; Rail Requirements: Tab 6 Property Mgmt – row 16 [Required / High]; Tab 6 Property Mgmt – row 37 [Required / High]</t>
  </si>
  <si>
    <t xml:space="preserve">ROW-025, ROW-158</t>
  </si>
  <si>
    <t xml:space="preserve">ROW-164</t>
  </si>
  <si>
    <t xml:space="preserve">Document and record search (full-text and metadata)</t>
  </si>
  <si>
    <t xml:space="preserve">Fast indexed search across all documents and projects including full-text and metadata; search by property and parcel; free-form text search that includes attached/linked documents.</t>
  </si>
  <si>
    <t xml:space="preserve">NH DOT ROWMS &amp; Rail Requirements: Tab 7 Administrative – row 18 [Required / High]
Idaho ITD RFP Event 85 – ROWMS: §9 Management Reporting – Standard Features ['must' requirement (§9)]
Osceola County BRD §6.1.7 (real estate/ROW): BRD §6.1.7/§7.1 – Req 1200 [Must Have]</t>
  </si>
  <si>
    <t xml:space="preserve">Workflow &amp; Task Management</t>
  </si>
  <si>
    <t xml:space="preserve">Configurable workflow engine with approvals and escalations</t>
  </si>
  <si>
    <t xml:space="preserve">Configure workflows and milestones, route work for approval with user-defined rules, escalations and multi-step electronic approvals (milestones, payment vouchers).</t>
  </si>
  <si>
    <t xml:space="preserve">NH DOT ROWMS &amp; Rail Requirements: Tab 1 General – row 33 [Required / High]; Tab 7 Administrative – row 16 [Required / n/a]
NMDOT RFP 06-0100: App. A §3.2.2 [SOW scope item / RFP purpose]
WSDOT RFI (2023): Perf. Requirements [RFI – performance requirement list (no priority given)]
Osceola County BRD §6.1.7 (real estate/ROW): BRD §6.1.7/§7.1 – Req 1203 [Must Have]</t>
  </si>
  <si>
    <t xml:space="preserve">Platform workflow engine; SOW: preconfigured workflow on most business-process forms; admin training covers Workflow Management</t>
  </si>
  <si>
    <t xml:space="preserve">ROW-212</t>
  </si>
  <si>
    <t xml:space="preserve">ROW-166</t>
  </si>
  <si>
    <t xml:space="preserve">Tasks</t>
  </si>
  <si>
    <t xml:space="preserve">Task management, to-do lists and task filters</t>
  </si>
  <si>
    <t xml:space="preserve">To-do lists and dashboards for tasks and scheduling; filter tasks (e.g., assigned to me, by discipline) and save filters; track tasks, documents and communications.</t>
  </si>
  <si>
    <t xml:space="preserve">NH DOT ROWMS &amp; Rail Requirements: Tab 7 Administrative – row 31 [Required / High]
Idaho ITD RFP Event 85 – ROWMS: §9 Management Reporting - Ad-hoc Query ['must' requirement (§9)]
NMDOT RFP 06-0100: App. A §3.2.2 [SOW scope item / RFP purpose]; App. A §2 Project Objectives [SOW project objective ('system should')]</t>
  </si>
  <si>
    <t xml:space="preserve">ROW-167</t>
  </si>
  <si>
    <t xml:space="preserve">Project schedules, milestones and on-schedule notifications</t>
  </si>
  <si>
    <t xml:space="preserve">Create project schedules and communicate team assignments; outline milestones; notify users whether a project is on schedule.</t>
  </si>
  <si>
    <t xml:space="preserve">NH DOT ROWMS &amp; Rail Requirements: Tab 1 General – row 16 [Required / High]; Tab 1 General – row 34 [Required / High]; Tab 1 General – row 35 [Required / High]; Tab 6 Property Mgmt – row 9 [Required / High]; +1 more (see Traceability)</t>
  </si>
  <si>
    <t xml:space="preserve">SOW dashboard 'Right of Way - Schedule Tracker'; schedule creation/assignment not evidenced</t>
  </si>
  <si>
    <t xml:space="preserve">ROW-010, ROW-166</t>
  </si>
  <si>
    <t xml:space="preserve">ROW-168</t>
  </si>
  <si>
    <t xml:space="preserve">Automated hand-off messages to next team</t>
  </si>
  <si>
    <t xml:space="preserve">Automatically notify the next team as a project assignment progresses, without people sending emails or reminders.</t>
  </si>
  <si>
    <t xml:space="preserve">NH DOT ROWMS &amp; Rail Requirements: Tab 1 General – row 29 [Required / High]</t>
  </si>
  <si>
    <t xml:space="preserve">ROW-165, ROW-170</t>
  </si>
  <si>
    <t xml:space="preserve">ROW-169</t>
  </si>
  <si>
    <t xml:space="preserve">Locked-down file structure for consistent data entry</t>
  </si>
  <si>
    <t xml:space="preserve">Lock project file structures so data is entered in the same format every time.</t>
  </si>
  <si>
    <t xml:space="preserve">NH DOT ROWMS &amp; Rail Requirements: Tab 1 General – row 45 [Required / High]</t>
  </si>
  <si>
    <t xml:space="preserve">ROW-170</t>
  </si>
  <si>
    <t xml:space="preserve">Notifications &amp; Communications</t>
  </si>
  <si>
    <t xml:space="preserve">Alerts</t>
  </si>
  <si>
    <t xml:space="preserve">Automated alerts, reminders and scheduled notifications</t>
  </si>
  <si>
    <t xml:space="preserve">System and email notifications/reminders for deadlines, mailing dates, public notices, workflow items needing attention; users can schedule future notifications and manage (filter, complete, delete) them.</t>
  </si>
  <si>
    <t xml:space="preserve">NH DOT ROWMS &amp; Rail Requirements: Tab 7 Administrative – row 32 [Required / High]
Idaho ITD RFP Event 85 – ROWMS: §9 Negotiation and Acquisition Requirements ['must' requirement (§9)]
NMDOT RFP 06-0100: App. A §2 Project Objectives [SOW project objective ('system should')]
Osceola County BRD §6.1.7 (real estate/ROW): BRD §6.1.7/§7.1 – Req 1006 [Must Have]</t>
  </si>
  <si>
    <t xml:space="preserve">ROW-171</t>
  </si>
  <si>
    <t xml:space="preserve">Mass messaging to multiple users</t>
  </si>
  <si>
    <t xml:space="preserve">Send a message to multiple users at once through the software.</t>
  </si>
  <si>
    <t xml:space="preserve">Idaho ITD RFP Event 85 – ROWMS: §9 System Non-Functional Requirements ['must' requirement (§9)]</t>
  </si>
  <si>
    <t xml:space="preserve">ROW-172</t>
  </si>
  <si>
    <t xml:space="preserve">Status transparency for interested parties</t>
  </si>
  <si>
    <t xml:space="preserve">Notify and give interested parties transparent current status of acquisitions; OSC asks to email status updates as requests are processed.</t>
  </si>
  <si>
    <t xml:space="preserve">NH DOT ROWMS &amp; Rail Requirements: Tab 1 General – row 36 [Required / High]
NMDOT RFP 06-0100: App. A §2 Project Objectives [SOW project objective ('system should')]
Osceola County BRD §6.1.7 (real estate/ROW): BRD §6.1.7/§7.1 – Req 1090 [Must Have]</t>
  </si>
  <si>
    <t xml:space="preserve">ROW-173</t>
  </si>
  <si>
    <t xml:space="preserve">Portals</t>
  </si>
  <si>
    <t xml:space="preserve">External stakeholder portal and engagement tools</t>
  </si>
  <si>
    <t xml:space="preserve">Communication tools and tracking for title companies, appraisers, owners, utilities, contractors and other agencies; external vendor portal for deliverables and assignments.</t>
  </si>
  <si>
    <t xml:space="preserve">NH DOT ROWMS &amp; Rail Requirements: Tab 1 General – row 3 [Required / High]
NMDOT RFP 06-0100: App. A §3.2.6 [SOW scope item / RFP purpose]; App. A §2 Project Objectives [SOW project objective ('system should')]</t>
  </si>
  <si>
    <t xml:space="preserve">Deck/SOW: 'Stakeholder Collaboration' shown in lifecycle graphic</t>
  </si>
  <si>
    <t xml:space="preserve">ROW-170, ROW-212</t>
  </si>
  <si>
    <t xml:space="preserve">ROW-174</t>
  </si>
  <si>
    <t xml:space="preserve">Correspondence</t>
  </si>
  <si>
    <t xml:space="preserve">Correspondence tracking and Outlook integration</t>
  </si>
  <si>
    <t xml:space="preserve">Track letters, emails, faxes and calls; log communications by parcel, owner or project; integrate with Outlook email.</t>
  </si>
  <si>
    <t xml:space="preserve">NH DOT ROWMS &amp; Rail Requirements: Tab 7 Administrative – row 35 [Required / High]; Tab 7 Administrative – row 36 [Required / High]; Tab 7 Administrative – row 37 [Required / High]</t>
  </si>
  <si>
    <t xml:space="preserve">Microsoft Outlook</t>
  </si>
  <si>
    <t xml:space="preserve">ROW-170, ROW-175</t>
  </si>
  <si>
    <t xml:space="preserve">ROW-175</t>
  </si>
  <si>
    <t xml:space="preserve">Templates &amp; Correspondence</t>
  </si>
  <si>
    <t xml:space="preserve">Templates</t>
  </si>
  <si>
    <t xml:space="preserve">Document templates with auto-fill from parcel/project data</t>
  </si>
  <si>
    <t xml:space="preserve">Standard DOT forms and templates (offer letters, notices, agreements, deeds, easements, leases, closing instructions) generated from system data, pre-populated and ready for signature; templates editable by end users in Word/Excel formats.</t>
  </si>
  <si>
    <t xml:space="preserve">NH DOT ROWMS &amp; Rail Requirements: Tab 2 ROW Agent – row 14 [Required / High]; Tab 2 ROW Agent – row 20 [Required / High]; Tab 7 Administrative – row 22 [Required / High]; Tab 7 Administrative – row 23 [Required / High]
Idaho ITD RFP Event 85 – ROWMS: §9 General Requirements: ['must' requirement (§9)]
Austin Transit Partnership RFQ (2025): Scope – A. Data Management [RFQ – requirement listed in scope]
Osceola County BRD §6.1.7 (real estate/ROW): BRD §6.1.7/§7.1 – Req 1198 [Must Have]</t>
  </si>
  <si>
    <t xml:space="preserve">SOW: 'Acquisition Notice', 'Appraisal Notice', 'Relocation Notice' forms; merge/auto-fill templating not evidenced</t>
  </si>
  <si>
    <t xml:space="preserve">ROW-176</t>
  </si>
  <si>
    <t xml:space="preserve">Mail merge</t>
  </si>
  <si>
    <t xml:space="preserve">Mail merge and mailing labels</t>
  </si>
  <si>
    <t xml:space="preserve">Mail-merge letters by parcel status or group and bulk communications to owners/stakeholders; generate/edit mailing labels (PDF, HTML, XLS, CSV); batch printing and label tools.</t>
  </si>
  <si>
    <t xml:space="preserve">NH DOT ROWMS &amp; Rail Requirements: Tab 1 General – row 30 [Required / High]; Tab 2 ROW Agent – row 42 [Required / High]; Tab 3 Survey – row 12 [Required / High]; Tab 7 Administrative – row 24 [Required / High]; +2 more (see Traceability)</t>
  </si>
  <si>
    <t xml:space="preserve">ROW-014, ROW-175</t>
  </si>
  <si>
    <t xml:space="preserve">ROW-177</t>
  </si>
  <si>
    <t xml:space="preserve">Certified-mail / USPS delivery tracking</t>
  </si>
  <si>
    <t xml:space="preserve">Optional integration with certified-mail tracking; keep electronic copies of notices with USPS delivery and receipt.</t>
  </si>
  <si>
    <t xml:space="preserve">NH DOT ROWMS &amp; Rail Requirements: Tab 7 Administrative – row 41 [Required / Medium]; Tab 7 Administrative – row 4 [Required / High]</t>
  </si>
  <si>
    <t xml:space="preserve">USPS</t>
  </si>
  <si>
    <t xml:space="preserve">ROW-178</t>
  </si>
  <si>
    <t xml:space="preserve">User-created forms, templates and standard reports</t>
  </si>
  <si>
    <t xml:space="preserve">Administrators/users add new forms and documents that become standard; create standard templates and forms.</t>
  </si>
  <si>
    <t xml:space="preserve">NH DOT ROWMS &amp; Rail Requirements: Tab 1 General – row 40 [Required / High]; Tab 1 General – row 41 [Required / High]
Idaho ITD RFP Event 85 – ROWMS: §9 Management Reporting - General ['must' requirement (§9)]</t>
  </si>
  <si>
    <t xml:space="preserve">Platform Form Builder (SOW admin training); SOW: up to 5 form changes and 5 new forms</t>
  </si>
  <si>
    <t xml:space="preserve">ROW-179</t>
  </si>
  <si>
    <t xml:space="preserve">e-Signature</t>
  </si>
  <si>
    <t xml:space="preserve">Electronic signature and tablet signing</t>
  </si>
  <si>
    <t xml:space="preserve">Accept electronically signed documents, support multiple e-signatures/digital certificates, and integrate with tablets (iPad) for in-person signatures; signed acknowledgements, notices and deeds stored in searchable form.</t>
  </si>
  <si>
    <t xml:space="preserve">NH DOT ROWMS &amp; Rail Requirements: Tab 1 General – row 5 [Required / High]; Tab 1 General – row 47 [Required / High]; Tab 2 ROW Agent – row 26 [Required / High]; Tab 1 General – row 15 [Required / High]
Idaho ITD RFP Event 85 – ROWMS: §9 Scope of Work ['must' requirement (§9)]
Osceola County BRD §6.1.7 (real estate/ROW): BRD §6.1.7/§7.1 – Req 1201 [Must Have]; BRD §6.1.7/§7.1 – Req 1205 [Must Have]</t>
  </si>
  <si>
    <t xml:space="preserve">DocuSign (Aurigo connector)</t>
  </si>
  <si>
    <t xml:space="preserve">Pro SOW: DocuSign configuration (up to 20 hours); Deck: DocuSign integration</t>
  </si>
  <si>
    <t xml:space="preserve">ROW-157, ROW-175</t>
  </si>
  <si>
    <t xml:space="preserve">GIS &amp; Mapping</t>
  </si>
  <si>
    <t xml:space="preserve">GIS</t>
  </si>
  <si>
    <t xml:space="preserve">GIS integration and interactive map viewer</t>
  </si>
  <si>
    <t xml:space="preserve">Show ROW/parcel data on interactive GIS maps (boundaries, rights, encumbrances, project areas, ROW limits); add, update, retire and query features spatially and in tables; Esri/ArcGIS two-way integration; let users enter parcel data to surface in GIS search.</t>
  </si>
  <si>
    <t xml:space="preserve">NH DOT ROWMS &amp; Rail Requirements: Tab 8 Rail &amp; Transit – row 12 [Required / High]; Tab 6 Property Mgmt – row 26 [Required / High]; Tab 4 Land Titles – row 13 [Required / High]; Tab 4 Land Titles – row 15 [Required / High]; +1 more (see Traceability)
Idaho ITD RFP Event 85 – ROWMS: §9.14 Value Added Services [(E) evaluated – 'may have']
NMDOT RFP 06-0100: App. A §3.2.4 [SOW scope item / RFP purpose]
WSDOT RFI (2023): Perf. Requirements – Baseline System Capabilities [RFI – performance requirement list (no priority given)]
Austin Transit Partnership RFQ (2025): Scope – A. Data Management [RFQ – requirement listed in scope]; Scope – IV. Data Requirements [RFQ – requirement listed in scope]
Osceola County BRD §6.1.7 (real estate/ROW): BRD §6.1.7/§7.1 – Req 1016 [Must Have]; BRD §6.1.7/§7.1 – Req 1.19 [Must Have]</t>
  </si>
  <si>
    <t xml:space="preserve">Esri / ArcGIS</t>
  </si>
  <si>
    <t xml:space="preserve">Pro SOW: 'ROW Summary Map Viewer' and ESRI (GIS) configuration (up to 40 hours); Deck: ArcGIS integration</t>
  </si>
  <si>
    <t xml:space="preserve">Yes – City of Detroit RFP 185263, City of Calgary RFI 25-006</t>
  </si>
  <si>
    <t xml:space="preserve">ROW-181</t>
  </si>
  <si>
    <t xml:space="preserve">Linear referencing (Esri Roads &amp; Highways)</t>
  </si>
  <si>
    <t xml:space="preserve">Integrate with Esri Roads and Highways with an advanced linear referencing system via Esri REST APIs.</t>
  </si>
  <si>
    <t xml:space="preserve">NMDOT RFP 06-0100: App. A §3.2.4 [SOW scope item / RFP purpose]</t>
  </si>
  <si>
    <t xml:space="preserve">Esri Roads and Highways</t>
  </si>
  <si>
    <t xml:space="preserve">ROW-182</t>
  </si>
  <si>
    <t xml:space="preserve">Parcel status color-coding on maps</t>
  </si>
  <si>
    <t xml:space="preserve">Visualize acquisition/parcel status spatially (colour-coded by stage or status such as leased, available for disposal), with GIS acquisition record plan.</t>
  </si>
  <si>
    <t xml:space="preserve">NH DOT ROWMS &amp; Rail Requirements: Tab 2 ROW Agent – row 36 [Optional / Medium]; Tab 2 ROW Agent – row 37 [Desired/Optional / Medium]; Tab 6 Property Mgmt – row 27 [Required / High]; Tab 8 Rail &amp; Transit – row 16 [Optional / Medium]; +1 more (see Traceability)</t>
  </si>
  <si>
    <t xml:space="preserve">ROW-011, ROW-180</t>
  </si>
  <si>
    <t xml:space="preserve">ROW-183</t>
  </si>
  <si>
    <t xml:space="preserve">Map overlays (appraisal, environmental, utility, historical, planned projects)</t>
  </si>
  <si>
    <t xml:space="preserve">Overlay appraisal, environmental, utility corridor, planned-project and historical parcel/impact data to inform acquisition strategy.</t>
  </si>
  <si>
    <t xml:space="preserve">NH DOT ROWMS &amp; Rail Requirements: Tab 2 ROW Agent – row 38 [Optional / High]; Tab 2 ROW Agent – row 33 [Required / High]; Tab 6 Property Mgmt – row 28 [Required / High]; Tab 4 Land Titles – row 14 [Desired/Optional / Medium]; +1 more (see Traceability)</t>
  </si>
  <si>
    <t xml:space="preserve">ROW-184</t>
  </si>
  <si>
    <t xml:space="preserve">External map providers, base maps and geocoding standards</t>
  </si>
  <si>
    <t xml:space="preserve">Pull data from state GIS layers and DOT basemaps; integrate with external map providers (Google Maps, Google Earth Pro) and use the city's address/geocoder standards.</t>
  </si>
  <si>
    <t xml:space="preserve">NH DOT ROWMS &amp; Rail Requirements: Tab 8 Rail &amp; Transit – row 28 [Desired/Optional / Medium]; Tab 8 Rail &amp; Transit – row 29 [Desired/Optional / Medium]; Tab 3 Survey – row 8 [Desired/Optional / Med]; Tab 4 Land Titles – row 29 [Desired/Optional / Medium]; +2 more (see Traceability)</t>
  </si>
  <si>
    <t xml:space="preserve">Google Maps; Google Earth Pro; Detroit Base Units</t>
  </si>
  <si>
    <t xml:space="preserve">Yes – City of Detroit RFP 185263</t>
  </si>
  <si>
    <t xml:space="preserve">ROW-185</t>
  </si>
  <si>
    <t xml:space="preserve">Search</t>
  </si>
  <si>
    <t xml:space="preserve">Flexible global search with wildcards and role-limited fields</t>
  </si>
  <si>
    <t xml:space="preserve">Real-time search across any/all records and fields (wildcards, combinations), user-defined criteria, search within results, if-then-else logic; administrators can limit searchable fields by role.</t>
  </si>
  <si>
    <t xml:space="preserve">NH DOT ROWMS &amp; Rail Requirements: Tab 1 General – row 31 [Required / High]; Tab 2 ROW Agent – row 7 [Required / High]
Idaho ITD RFP Event 85 – ROWMS: §9 Project Information Requirements ['must' requirement (§9)]; §9 Management Reporting – Standard Features ['must' requirement (§9)]
Austin Transit Partnership RFQ (2025): Scope – A. Data Management [RFQ – requirement listed in scope]</t>
  </si>
  <si>
    <t xml:space="preserve">ROW-186</t>
  </si>
  <si>
    <t xml:space="preserve">Saved searches and saved filters</t>
  </si>
  <si>
    <t xml:space="preserve">Save frequently used searches and filters.</t>
  </si>
  <si>
    <t xml:space="preserve">NH DOT ROWMS &amp; Rail Requirements: Tab 7 Administrative – row 20 [Required / High]
Idaho ITD RFP Event 85 – ROWMS: §9 Management Reporting - Ad-hoc Query ['must' requirement (§9)]</t>
  </si>
  <si>
    <t xml:space="preserve">ROW-187</t>
  </si>
  <si>
    <t xml:space="preserve">Keyword / fuzzy search</t>
  </si>
  <si>
    <t xml:space="preserve">Keyword and fuzzy search to help with unusual valuation or parcel/project/owner lookups.</t>
  </si>
  <si>
    <t xml:space="preserve">NH DOT ROWMS &amp; Rail Requirements: Tab 5 Appraisal – row 23 [Optional / Medium]; Tab 6 Property Mgmt – row 23 [Required / High]</t>
  </si>
  <si>
    <t xml:space="preserve">ROW-188</t>
  </si>
  <si>
    <t xml:space="preserve">Reporting &amp; Dashboards</t>
  </si>
  <si>
    <t xml:space="preserve">Dashboards</t>
  </si>
  <si>
    <t xml:space="preserve">Configurable dashboards with drill-down and status indicators</t>
  </si>
  <si>
    <t xml:space="preserve">Dashboards for project/parcel status, red-yellow-green indicators on budget/schedule, drill down to parcel detail, filter by district, role-specific views; interactive elements; unlimited dashboards by user-defined activities.</t>
  </si>
  <si>
    <t xml:space="preserve">NH DOT ROWMS &amp; Rail Requirements: Tab 1 General – row 27 [Required / High]; Tab 7 Administrative – row 48 [Required / High]; Tab 8 Rail &amp; Transit – row 37 [Optional / Medium]
Idaho ITD RFP Event 85 – ROWMS: §9 Management Reporting - General ['must' requirement (§9)]; §9.14 Value Added Services [(E) evaluated – 'may have']
NMDOT RFP 06-0100: App. A §3.2.1 [SOW scope item / RFP purpose]
Osceola County BRD §6.1.7 (real estate/ROW): BRD §6.1.7/§7.1 – Req 1018 [Must Have]</t>
  </si>
  <si>
    <t xml:space="preserve">SOW: 3 enterprise dashboards (Cost Summary, Schedule Tracker, Parcel Summary) + 1 project dashboard; up to 3 configured dashboards</t>
  </si>
  <si>
    <t xml:space="preserve">Yes – City of Calgary RFI 25-006, Smart ROW Features Matrix (DM1343 App. D)</t>
  </si>
  <si>
    <t xml:space="preserve">ROW-005, ROW-107</t>
  </si>
  <si>
    <t xml:space="preserve">Ad-hoc query and self-service report builder</t>
  </si>
  <si>
    <t xml:space="preserve">Robust ad-hoc query with data dictionary, drag-and-drop report design, copy/modify existing reports, wizards, formulas, charts; users limited to data they are authorised to see.</t>
  </si>
  <si>
    <t xml:space="preserve">NH DOT ROWMS &amp; Rail Requirements: Tab 9 Reports – row 13 [Required / High]
Idaho ITD RFP Event 85 – ROWMS: §9 Management Reporting - Ad-hoc Query ['must' requirement (§9)]
NMDOT RFP 06-0100: App. A §3.2.5 [SOW scope item / RFP purpose]; App. A §2 Project Objectives [SOW project objective ('system should')]
Austin Transit Partnership RFQ (2025): Scope – A. Data Management [RFQ – requirement listed in scope]
Osceola County BRD §6.1.7 (real estate/ROW): BRD §6.1.7/§7.1 – Req 1092 [Must Have]</t>
  </si>
  <si>
    <t xml:space="preserve">Platform reporting; SOW: up to 3 configured reports; admin training covers reporting</t>
  </si>
  <si>
    <t xml:space="preserve">ROW-190</t>
  </si>
  <si>
    <t xml:space="preserve">Report portal, saved/shared reports and scheduled distribution</t>
  </si>
  <si>
    <t xml:space="preserve">Personalized portal listing authorised reports; save/share personal reports and queries; run in background with notification; schedule reports and distribute by event or threshold (email links).</t>
  </si>
  <si>
    <t xml:space="preserve">Idaho ITD RFP Event 85 – ROWMS: §9 Management Reporting – Report Portal ['must' requirement (§9)]; §9 Management Reporting – Standard Features ['must' requirement (§9)] ×2</t>
  </si>
  <si>
    <t xml:space="preserve">ROW-191</t>
  </si>
  <si>
    <t xml:space="preserve">Report export formats</t>
  </si>
  <si>
    <t xml:space="preserve">Export results as CSV, Excel, PDF, Word, XML, TXT and delimited files (with options for headers/graphics and query statement); email reports.</t>
  </si>
  <si>
    <t xml:space="preserve">NH DOT ROWMS &amp; Rail Requirements: Tab 1 General – row 12 [Required / High]
Idaho ITD RFP Event 85 – ROWMS: §9 Management Reporting – Standard Features ['must' requirement (§9)]
NMDOT RFP 06-0100: App. A §3.2.5 [SOW scope item / RFP purpose]
Austin Transit Partnership RFQ (2025): Scope – A. Data Management [RFQ – requirement listed in scope]</t>
  </si>
  <si>
    <t xml:space="preserve">ROW-192</t>
  </si>
  <si>
    <t xml:space="preserve">Charts, graphs and gauges</t>
  </si>
  <si>
    <t xml:space="preserve">Pie, stacked-bar, min/mid/max line charts, regression lines and dashboard gauges; link to Microsoft Office applications.</t>
  </si>
  <si>
    <t xml:space="preserve">Idaho ITD RFP Event 85 – ROWMS: §9 Management Reporting – Standard Features ['must' requirement (§9)] ×2</t>
  </si>
  <si>
    <t xml:space="preserve">ROW-193</t>
  </si>
  <si>
    <t xml:space="preserve">User-defined performance measures and KPIs</t>
  </si>
  <si>
    <t xml:space="preserve">Create KPI/performance measures with adjustable thresholds (e.g., share of parcel closings on schedule) and track staff productivity/accuracy through exportable reports.</t>
  </si>
  <si>
    <t xml:space="preserve">NH DOT ROWMS &amp; Rail Requirements: Tab 1 General – row 26 [Required / High]; Tab 7 Administrative – row 43 [Optional / Medium]
Idaho ITD RFP Event 85 – ROWMS: §9 Management Reporting - Performance Measures ['must' requirement (§9)]
NMDOT RFP 06-0100: App. A §3.2.5 [SOW scope item / RFP purpose]</t>
  </si>
  <si>
    <t xml:space="preserve">ROW-194</t>
  </si>
  <si>
    <t xml:space="preserve">Analytics</t>
  </si>
  <si>
    <t xml:space="preserve">Variance, forecasting and trend analytics (incl. earned value)</t>
  </si>
  <si>
    <t xml:space="preserve">Actual vs. planned schedule and cost variance with alerts; earned value analysis; trend/time-series forecasting; risk-reward and project-deferral risk analysis.</t>
  </si>
  <si>
    <t xml:space="preserve">Idaho ITD RFP Event 85 – ROWMS: §9 Management Reporting - Project Dashboarding / Data Reporting ['must' requirement (§9)] ×2; §9 Management Reporting - Estimating / Analytics ['must' requirement (§9)]</t>
  </si>
  <si>
    <t xml:space="preserve">Idaho words these as 'must have functionality' but they are broad analytic asks; treat the Must rating with care.</t>
  </si>
  <si>
    <t xml:space="preserve">ROW-195</t>
  </si>
  <si>
    <t xml:space="preserve">Project status, master schedule and cost/cash-flow reports</t>
  </si>
  <si>
    <t xml:space="preserve">Program master summary schedules (with baselines), project/clearance status lists, project cost reports for a period, optional cash flows and budget/actual/forecast by resource.</t>
  </si>
  <si>
    <t xml:space="preserve">NH DOT ROWMS &amp; Rail Requirements: Tab 9 Reports – row 12 [Required / High]
Idaho ITD RFP Event 85 – ROWMS: §9 Management Reporting – Project Management Reports ['must' requirement (§9)] ×2; §9 Management Reporting – Project Management Reports [(E) evaluated – 'may have']</t>
  </si>
  <si>
    <t xml:space="preserve">SOW: Schedule Tracker dashboard and Project Cost Summary; baselines/cash-flow not evidenced</t>
  </si>
  <si>
    <t xml:space="preserve">ROW-004, ROW-010, ROW-107</t>
  </si>
  <si>
    <t xml:space="preserve">ROW-196</t>
  </si>
  <si>
    <t xml:space="preserve">Regulatory reports</t>
  </si>
  <si>
    <t xml:space="preserve">FHWA annual reports and statistics</t>
  </si>
  <si>
    <t xml:space="preserve">FHWA annual report (acquisitions required/completed, condemnations, administrative settlements), FHWA annual ROW statistics, and ability to produce FHWA-mandated expenditure reports.</t>
  </si>
  <si>
    <t xml:space="preserve">NH DOT ROWMS &amp; Rail Requirements: Tab 2 ROW Agent – row 25 [Required / High]
Idaho ITD RFP Event 85 – ROWMS: §9.14 Value Added Services ['must' requirement (§9)] ×2</t>
  </si>
  <si>
    <t xml:space="preserve">FHWA reporting</t>
  </si>
  <si>
    <t xml:space="preserve">ROW-099, ROW-113, ROW-189</t>
  </si>
  <si>
    <t xml:space="preserve">ROW-197</t>
  </si>
  <si>
    <t xml:space="preserve">Title VI civil-rights reporting</t>
  </si>
  <si>
    <t xml:space="preserve">Quarterly Title VI review report (minority, female head of household, DBE, special accommodations) using survey data collected at hearings or mailed to owners.</t>
  </si>
  <si>
    <t xml:space="preserve">NH DOT ROWMS &amp; Rail Requirements: Tab 9 Reports – row 8 [Required / High]; Tab 2 ROW Agent – row 45 [Required / High]; Tab 7 Administrative – row 7 [Required / High]
Idaho ITD RFP Event 85 – ROWMS: §9 Management Reporting - General ['must' requirement (§9)]</t>
  </si>
  <si>
    <t xml:space="preserve">Title VI</t>
  </si>
  <si>
    <t xml:space="preserve">NH T9!R8 says 'TITLE IV Reports' while T2!R45 and T7!R7 say Title 6 / Title VI; I assume T9!R8 is a typo but cannot confirm.</t>
  </si>
  <si>
    <t xml:space="preserve">ROW-022, ROW-189</t>
  </si>
  <si>
    <t xml:space="preserve">ROW-198</t>
  </si>
  <si>
    <t xml:space="preserve">IRS 1099, municipal tax and year-end reports</t>
  </si>
  <si>
    <t xml:space="preserve">Generate IRS 1099 reports, municipal tax reports and year-end status reports.</t>
  </si>
  <si>
    <t xml:space="preserve">NH DOT ROWMS &amp; Rail Requirements: Tab 9 Reports – row 10 [Required / High]; Tab 9 Reports – row 14 [Required / High]; Tab 9 Reports – row 15 [Required / High]
Idaho ITD RFP Event 85 – ROWMS: §9.14 Value Added Services [(E) evaluated – 'may have']</t>
  </si>
  <si>
    <t xml:space="preserve">IRS 1099</t>
  </si>
  <si>
    <t xml:space="preserve">ROW-018, ROW-108, ROW-189</t>
  </si>
  <si>
    <t xml:space="preserve">ROW-199</t>
  </si>
  <si>
    <t xml:space="preserve">Acquisition, parcel and agent-level status/performance reports</t>
  </si>
  <si>
    <t xml:space="preserve">Reports by acquisition type, counts of parcels abstracted/appraised/acquired/condemned/relocated, certificates issued, surplus parcels; per-agent assignment reports; project/parcel status; acquisition status workflow report.</t>
  </si>
  <si>
    <t xml:space="preserve">NH DOT ROWMS &amp; Rail Requirements: Tab 9 Reports – row 3 [Required / High]; Tab 9 Reports – row 4 [Required / High]; Tab 2 ROW Agent – row 46 [Required / High]; Tab 9 Reports – row 22 [Required / High]
Idaho ITD RFP Event 85 – ROWMS: §9.14 Value Added Services ['must' requirement (§9)]
Osceola County BRD §6.1.7 (real estate/ROW): BRD §6.1.7/§7.1 – Req 1177 [Must Have]</t>
  </si>
  <si>
    <t xml:space="preserve">SOW reports: Acquisition Performance, Parcel Summary/Status, Condemnation Parcel Status</t>
  </si>
  <si>
    <t xml:space="preserve">ROW-063, ROW-107</t>
  </si>
  <si>
    <t xml:space="preserve">ROW-200</t>
  </si>
  <si>
    <t xml:space="preserve">Specialty reports (Garvee/bonding, GIS parcels, historical, owner/contact lists)</t>
  </si>
  <si>
    <t xml:space="preserve">Idaho Appendix A report list: bonding reports, GIS parcels per project, project contacts, escrow/title officer lists, owner, parcel, project and historical reports.</t>
  </si>
  <si>
    <t xml:space="preserve">Idaho ITD RFP Event 85 – ROWMS: §9.14 Value Added Services ['must' requirement (§9)] ×3</t>
  </si>
  <si>
    <t xml:space="preserve">ROW-201</t>
  </si>
  <si>
    <t xml:space="preserve">Read-only database (ODBC) access and data-warehouse style reporting</t>
  </si>
  <si>
    <t xml:space="preserve">Read-only ODBC data access, ERD, data dictionary/metadata repository, 24/7 reporting access, join with external data.</t>
  </si>
  <si>
    <t xml:space="preserve">Idaho ITD RFP Event 85 – ROWMS: §9 Management Reporting - General ['must' requirement (§9)] ×2; §9 Management Reporting - Ad-hoc Query ['must' requirement (§9)]</t>
  </si>
  <si>
    <t xml:space="preserve">ODBC</t>
  </si>
  <si>
    <t xml:space="preserve">ROW-189, ROW-219</t>
  </si>
  <si>
    <t xml:space="preserve">ROW-202</t>
  </si>
  <si>
    <t xml:space="preserve">Data Management</t>
  </si>
  <si>
    <t xml:space="preserve">Import/export</t>
  </si>
  <si>
    <t xml:space="preserve">Data import/export with configurable mapping</t>
  </si>
  <si>
    <t xml:space="preserve">Import/export XML, XLSX, CSV, TXT with user-configurable mapping by security role; import existing ROW data from other sources; export any system data.</t>
  </si>
  <si>
    <t xml:space="preserve">NH DOT ROWMS &amp; Rail Requirements: Tab 1 General – row 32 [Required / High]
Austin Transit Partnership RFQ (2025): Scope – A. Data Management [RFQ – requirement listed in scope]
Osceola County BRD §6.1.7 (real estate/ROW): BRD §6.1.7/§7.1 – Req 1003 [Must Have]</t>
  </si>
  <si>
    <t xml:space="preserve">ROW-005, ROW-014, ROW-084</t>
  </si>
  <si>
    <t xml:space="preserve">Migration</t>
  </si>
  <si>
    <t xml:space="preserve">Legacy data migration and validation</t>
  </si>
  <si>
    <t xml:space="preserve">Convert and migrate existing records (titles, parcels, owners, projects, notes, attachments, rail Access database) with validation and synchronization.</t>
  </si>
  <si>
    <t xml:space="preserve">NH DOT ROWMS &amp; Rail Requirements: Tab 4 Land Titles – row 32 [Required / High]; Tab 6 Property Mgmt – row 32 [Required / High]
Idaho ITD RFP Event 85 – ROWMS: §9 Project Management and Implementation ['must' requirement (§9)]
Austin Transit Partnership RFQ (2025): Scope – VI. Key Deliverables [RFQ – requirement listed in scope]</t>
  </si>
  <si>
    <t xml:space="preserve">SOW lists environment 'data setup' only; migration scope not evidenced</t>
  </si>
  <si>
    <t xml:space="preserve">ROW-204</t>
  </si>
  <si>
    <t xml:space="preserve">Data quality</t>
  </si>
  <si>
    <t xml:space="preserve">Data validation, duplicate and inconsistency flagging</t>
  </si>
  <si>
    <t xml:space="preserve">Field validation, required entries, drop-downs/auto-suggest; flag missing, inconsistent or duplicate data; data should not need to be re-keyed across screens.</t>
  </si>
  <si>
    <t xml:space="preserve">NH DOT ROWMS &amp; Rail Requirements: Tab 7 Administrative – row 27 [Required / High]; Tab 7 Administrative – row 28 [Required / Medium]; Tab 1 General – row 9 [Required / High]
Idaho ITD RFP Event 85 – ROWMS: §9 Data Integrity ['must' requirement (§9)]
Austin Transit Partnership RFQ (2025): Scope – A. Data Management [RFQ – requirement listed in scope]</t>
  </si>
  <si>
    <t xml:space="preserve">ROW-205</t>
  </si>
  <si>
    <t xml:space="preserve">Real-time synchronization of data</t>
  </si>
  <si>
    <t xml:space="preserve">All data changes synchronized in real time and accessible to authorised users as a single integrated whole.</t>
  </si>
  <si>
    <t xml:space="preserve">NH DOT ROWMS &amp; Rail Requirements: Tab 1 General – row 10 [Required / High]; Tab 1 General – row 11 [Required / High]</t>
  </si>
  <si>
    <t xml:space="preserve">ROW-206</t>
  </si>
  <si>
    <t xml:space="preserve">Unique transaction identifiers and metadata management</t>
  </si>
  <si>
    <t xml:space="preserve">Unique identifiers for transactions (admin, usage, audit); active metadata repository and field-level metadata.</t>
  </si>
  <si>
    <t xml:space="preserve">ROW-207</t>
  </si>
  <si>
    <t xml:space="preserve">Records</t>
  </si>
  <si>
    <t xml:space="preserve">Records retention, archive and disposal</t>
  </si>
  <si>
    <t xml:space="preserve">Retain historical ROW transactional data; archive audit data; remove records after retention periods.</t>
  </si>
  <si>
    <t xml:space="preserve">NH DOT ROWMS &amp; Rail Requirements: Tab 1 General – row 22 [Required / High]
Idaho ITD RFP Event 85 – ROWMS: §9 Data Storage &amp; Management ['must' requirement (§9)]</t>
  </si>
  <si>
    <t xml:space="preserve">Yes – City of Regina RFI 25-00072</t>
  </si>
  <si>
    <t xml:space="preserve">ROW-157, ROW-214</t>
  </si>
  <si>
    <t xml:space="preserve">ROW-208</t>
  </si>
  <si>
    <t xml:space="preserve">Public-records / Right-to-Know request support</t>
  </si>
  <si>
    <t xml:space="preserve">Query and produce information responsive to public disclosure or Right-to-Know requests.</t>
  </si>
  <si>
    <t xml:space="preserve">NH DOT ROWMS &amp; Rail Requirements: Tab 1 General – row 42 [Required / High]
WSDOT RFI (2023): Perf. Requirements – Property Management [RFI – performance requirement list (no priority given)]</t>
  </si>
  <si>
    <t xml:space="preserve">ROW-164, ROW-207</t>
  </si>
  <si>
    <t xml:space="preserve">Integration &amp; APIs</t>
  </si>
  <si>
    <t xml:space="preserve">API</t>
  </si>
  <si>
    <t xml:space="preserve">Open APIs and data access (REST/JSON)</t>
  </si>
  <si>
    <t xml:space="preserve">Documented APIs for data access, bulk import/export and two-way exchange with other systems; machine-readable data, documented schema, JSON output, ability to push data.</t>
  </si>
  <si>
    <t xml:space="preserve">NH DOT ROWMS &amp; Rail Requirements: Tab 4 Land Titles – row 30 [Desired/Optional / Medium]
Idaho ITD RFP Event 85 – ROWMS: §9 Application Programming Interface (API) ['must' requirement (§9)]
NMDOT RFP 06-0100: App. A §2 Project Objectives [SOW project objective ('system should')]
WSDOT RFI (2023): Perf. Requirements – Baseline System Capabilities [RFI – performance requirement list (no priority given)]</t>
  </si>
  <si>
    <t xml:space="preserve">REST</t>
  </si>
  <si>
    <t xml:space="preserve">Deck: Masterworks platform lists 'API'</t>
  </si>
  <si>
    <t xml:space="preserve">ROW-210</t>
  </si>
  <si>
    <t xml:space="preserve">Identity</t>
  </si>
  <si>
    <t xml:space="preserve">Single sign-on and identity federation (ADFS, SAML, OAuth, OIDC, Azure AD, MFA)</t>
  </si>
  <si>
    <t xml:space="preserve">SSO and federation with the organisation's identity provider; MFA; support external users outside the directory; SSO for public users.</t>
  </si>
  <si>
    <t xml:space="preserve">Idaho ITD RFP Event 85 – ROWMS: §9 Identity Requirements ['must' requirement (§9)]
NMDOT RFP 06-0100: App. A §3.2.1 [SOW scope item / RFP purpose]
WSDOT RFI (2023): Perf. Requirements – Baseline System Capabilities [RFI – performance requirement list (no priority given)]
Osceola County BRD §6.1.7 (real estate/ROW): BRD §6.1.7/§7.1 – Req 1020 [Must Have]; BRD §6.1.7/§7.1 – Req 1004 [Must Have]</t>
  </si>
  <si>
    <t xml:space="preserve">ADFS; Azure AD; myID</t>
  </si>
  <si>
    <t xml:space="preserve">Pro SOW: SSO configuration for client ADFS (up to 20 hours); Deck: ADFS integration</t>
  </si>
  <si>
    <t xml:space="preserve">ROW-211</t>
  </si>
  <si>
    <t xml:space="preserve">Enterprise</t>
  </si>
  <si>
    <t xml:space="preserve">Integration with enterprise / agency systems (finance, project tracking, city apps)</t>
  </si>
  <si>
    <t xml:space="preserve">Integrate with agency tools: GIS, parcel databases, finance and project-tracking (e.g., FMIS, AASHTOWare), city work-order/asset systems (e.g., Cityworks) and other cloud/on-prem systems.</t>
  </si>
  <si>
    <t xml:space="preserve">NH DOT ROWMS &amp; Rail Requirements: Tab 7 Administrative – row 50 [Required / High]; Tab 8 Rail &amp; Transit – row 32 [Required / High]; Tab 6 Property Mgmt – row 30 [Required / High]; Tab 8 Rail &amp; Transit – row 3 [Required / High]
Osceola County BRD §6.1.7 (real estate/ROW): BRD §6.1.7/§7.1 – Req 1024 [Must Have]</t>
  </si>
  <si>
    <t xml:space="preserve">FMIS; AASHTOWare; Cityworks</t>
  </si>
  <si>
    <t xml:space="preserve">Yes – Smart ROW Features Matrix (DM1343 App. D)</t>
  </si>
  <si>
    <t xml:space="preserve">Security &amp; Access</t>
  </si>
  <si>
    <t xml:space="preserve">Access control</t>
  </si>
  <si>
    <t xml:space="preserve">Role-based access control and user profiles</t>
  </si>
  <si>
    <t xml:space="preserve">Configure user groups, roles and permissions; set up user profiles; admin can add/disable/reactivate users; least-privilege; restrict access to sensitive data.</t>
  </si>
  <si>
    <t xml:space="preserve">NH DOT ROWMS &amp; Rail Requirements: Tab 1 General – row 46 [Required / High]; Tab 7 Administrative – row 33 [Required / High]
Idaho ITD RFP Event 85 – ROWMS: §9 Authorization and Role Management [(ME) mandatory &amp; evaluated]
NMDOT RFP 06-0100: App. A §3.2.1 [SOW scope item / RFP purpose]
Austin Transit Partnership RFQ (2025): Scope – B. User Management &amp; Security [RFQ – requirement listed in scope]
Osceola County BRD §6.1.7 (real estate/ROW): BRD §6.1.7/§7.1 – Req 1033 [Must Have]</t>
  </si>
  <si>
    <t xml:space="preserve">SOW: out-of-the-box roles and permission settings; admin training covers user administration</t>
  </si>
  <si>
    <t xml:space="preserve">ROW-213</t>
  </si>
  <si>
    <t xml:space="preserve">Data-level security (field / row restrictions by role)</t>
  </si>
  <si>
    <t xml:space="preserve">Restrict which fields users can search and which rows/columns appear in reports based on role.</t>
  </si>
  <si>
    <t xml:space="preserve">NH DOT ROWMS &amp; Rail Requirements: Tab 1 General – row 31 [Required / High]
Idaho ITD RFP Event 85 – ROWMS: §9 Management Reporting – Report Portal ['must' requirement (§9)]</t>
  </si>
  <si>
    <t xml:space="preserve">ROW-214</t>
  </si>
  <si>
    <t xml:space="preserve">Audit</t>
  </si>
  <si>
    <t xml:space="preserve">Audit trail of data changes and access</t>
  </si>
  <si>
    <t xml:space="preserve">Log who changed what and when (before/after values, user, time stamp), access to documents, exports and report-definition changes; security logs including IP and failed access attempts.</t>
  </si>
  <si>
    <t xml:space="preserve">NH DOT ROWMS &amp; Rail Requirements: Tab 1 General – row 21 [Required / High]; Tab 1 General – row 23 [Required / High]; Tab 7 Administrative – row 44 [Optional / Medium]; Tab 4 Land Titles – row 24 [Required / High]
Idaho ITD RFP Event 85 – ROWMS: §9 Audit Logging and Monitoring ['must' requirement (§9)]
NMDOT RFP 06-0100: App. A §3.2.2 [SOW scope item / RFP purpose]
Austin Transit Partnership RFQ (2025): Scope – B. User Management &amp; Security [RFQ – requirement listed in scope]
Osceola County BRD §6.1.7 (real estate/ROW): BRD §6.1.7/§7.1 – Req 1015 [Must Have]</t>
  </si>
  <si>
    <t xml:space="preserve">NIST SP 800-53 AU family (NH)</t>
  </si>
  <si>
    <t xml:space="preserve">Yes – City of Calgary RFI 25-006, City of Regina RFI 25-00072</t>
  </si>
  <si>
    <t xml:space="preserve">ROW-215</t>
  </si>
  <si>
    <t xml:space="preserve">Audit readiness for federal and project-document audits</t>
  </si>
  <si>
    <t xml:space="preserve">Audit all project documents regardless of status, satisfy FHWA/federal compliance audits with all data retrievable in one integrated report.</t>
  </si>
  <si>
    <t xml:space="preserve">NH DOT ROWMS &amp; Rail Requirements: Tab 1 General – row 37 [Required / High]; Tab 1 General – row 38 [Required / High]; Tab 7 Administrative – row 7 [Required / High]</t>
  </si>
  <si>
    <t xml:space="preserve">FHWA / federal compliance (Title VI example)</t>
  </si>
  <si>
    <t xml:space="preserve">ROW-079, ROW-214</t>
  </si>
  <si>
    <t xml:space="preserve">ROW-216</t>
  </si>
  <si>
    <t xml:space="preserve">Security</t>
  </si>
  <si>
    <t xml:space="preserve">Security controls (encryption, NIST/CIS, vulnerability testing)</t>
  </si>
  <si>
    <t xml:space="preserve">Encryption in transit (TLS 1.2+) and at rest for PII, NIST-aligned security controls, vulnerability/penetration testing cooperation, intrusion detection, malware protection, secure data disposal.</t>
  </si>
  <si>
    <t xml:space="preserve">NH DOT ROWMS &amp; Rail Requirements: Tab 1 General – row 17 [Required / High]; Tab 1 General – row 18 [Required / High]
Idaho ITD RFP Event 85 – ROWMS: §9 Data Center ['must' requirement (§9)]
NMDOT RFP 06-0100: App. A §3.2.7 [SOW scope item / RFP purpose]
Osceola County BRD §6.1.7 (real estate/ROW): BRD §6.1.7/§7.1 – Req 1038 [Must Have]; BRD §6.1.7/§7.1 – Req 1039 [Must Have]</t>
  </si>
  <si>
    <t xml:space="preserve">NIST SP 800-53 (NH), NIST/CIS (ID), ISO 27001 (OSC)</t>
  </si>
  <si>
    <t xml:space="preserve">ROW-212, ROW-218</t>
  </si>
  <si>
    <t xml:space="preserve">ROW-217</t>
  </si>
  <si>
    <t xml:space="preserve">Compliance certifications (FedRAMP / TX-RAMP, SOC 2, ISO 27001)</t>
  </si>
  <si>
    <t xml:space="preserve">FedRAMP or TX-RAMP authorization; ISO/NIST certifications; SOC reports; annual security audits.</t>
  </si>
  <si>
    <t xml:space="preserve">Idaho ITD RFP Event 85 – ROWMS: §9 Data Center ['must' requirement (§9)]
Austin Transit Partnership RFQ (2025): Scope – V. Technology Requirements [RFQ – requirement listed in scope]
Osceola County BRD §6.1.7 (real estate/ROW): BRD §6.1.7/§7.1 – Req 1042 [Must Have]; BRD §6.1.7/§7.1 – Req 1043 [Must Have]</t>
  </si>
  <si>
    <t xml:space="preserve">FedRAMP; TX-RAMP; SOC 2; ISO 27001</t>
  </si>
  <si>
    <t xml:space="preserve">ROW-218</t>
  </si>
  <si>
    <t xml:space="preserve">Authentication, password and session policies</t>
  </si>
  <si>
    <t xml:space="preserve">Unique user IDs, configurable password complexity/expiry, lockout after failed attempts, session management, no shared accounts.</t>
  </si>
  <si>
    <t xml:space="preserve">Idaho ITD RFP Event 85 – ROWMS: §9 Authentication and Password Management ['must' requirement (§9)] ×2
Austin Transit Partnership RFQ (2025): Scope – B. User Management &amp; Security [RFQ – requirement listed in scope]</t>
  </si>
  <si>
    <t xml:space="preserve">ROW-219</t>
  </si>
  <si>
    <t xml:space="preserve">Hosting &amp; Non-functional</t>
  </si>
  <si>
    <t xml:space="preserve">Hosting</t>
  </si>
  <si>
    <t xml:space="preserve">Cloud / SaaS hosting with US data residency and tenant isolation</t>
  </si>
  <si>
    <t xml:space="preserve">SaaS/cloud solution (COTS acceptable), data kept in the US, single-tenant (OSC) or isolated multi-tenant (ID); WSDOT cites a state policy requiring third-party or cloud hosting.</t>
  </si>
  <si>
    <t xml:space="preserve">Idaho ITD RFP Event 85 – ROWMS: §9 System Non-Functional Requirements ['must' requirement (§9)]
NMDOT RFP 06-0100: App. A §3.2.1 [SOW scope item / RFP purpose]
WSDOT RFI (2023): Perf. Requirements [RFI – performance requirement list (no priority given)]
Austin Transit Partnership RFQ (2025): Scope – V. Technology Requirements [RFQ – requirement listed in scope]
Osceola County BRD §6.1.7 (real estate/ROW): BRD §6.1.7/§7.1 – Req 1001 [Must Have]; BRD §6.1.7/§7.1 – Req 1035 [Must Have]</t>
  </si>
  <si>
    <t xml:space="preserve">Deck: 'Masterworks Cloud Platform'; ATX RFQ explicitly requests Masterworks Cloud, Platform Core PLT-MWC-C</t>
  </si>
  <si>
    <t xml:space="preserve">ROW-220</t>
  </si>
  <si>
    <t xml:space="preserve">Resilience</t>
  </si>
  <si>
    <t xml:space="preserve">Backup, disaster recovery and recovery objectives</t>
  </si>
  <si>
    <t xml:space="preserve">Regular backups and DR plan; Idaho sets RTO &lt; 24 h and RPO 8 h; multi-region data centers; Osceola retention of 9 months.</t>
  </si>
  <si>
    <t xml:space="preserve">Idaho ITD RFP Event 85 – ROWMS: §9 Disaster Recovery ['must' requirement (§9)]
NMDOT RFP 06-0100: App. A §3.2.7 [SOW scope item / RFP purpose]
Austin Transit Partnership RFQ (2025): Scope – C. System Administration [RFQ – requirement listed in scope]
Osceola County BRD §6.1.7 (real estate/ROW): BRD §6.1.7/§7.1 – Req 1028 [Must Have]; BRD §6.1.7/§7.1 – Req 1036 [Must Have]</t>
  </si>
  <si>
    <t xml:space="preserve">ROW-221</t>
  </si>
  <si>
    <t xml:space="preserve">Performance</t>
  </si>
  <si>
    <t xml:space="preserve">Availability, performance and scalability</t>
  </si>
  <si>
    <t xml:space="preserve">Uptime targets (Idaho 99.9%, Osceola 99.99%), responsive performance, scalable to growth; support minimum concurrent users (Idaho 250) or named user counts (ATX 80; NH unlimited users).</t>
  </si>
  <si>
    <t xml:space="preserve">NH DOT ROWMS &amp; Rail Requirements: Tab 1 General – row 13 [Required / High]; Tab 1 General – row 25 [Required / High]
Idaho ITD RFP Event 85 – ROWMS: §9 ROWMS Maintenance and Incident Response ['must' requirement (§9)]; §9 System Non-Functional Requirements ['must' requirement (§9)]
Austin Transit Partnership RFQ (2025): Scope – III. Non-Functional Requirements [RFQ – 'should' (non-functional list)] ×3
Osceola County BRD §6.1.7 (real estate/ROW): BRD §6.1.7/§7.1 – Req 1022 [Must Have]; BRD §6.1.7/§7.1 – Req 1021 [Must Have]</t>
  </si>
  <si>
    <t xml:space="preserve">ROW-222</t>
  </si>
  <si>
    <t xml:space="preserve">Operations</t>
  </si>
  <si>
    <t xml:space="preserve">System monitoring, error logging and administration</t>
  </si>
  <si>
    <t xml:space="preserve">Monitor performance and utilization with alerts; log and display system errors for support; admin functions for users, configuration and ad hoc reports.</t>
  </si>
  <si>
    <t xml:space="preserve">NH DOT ROWMS &amp; Rail Requirements: Tab 1 General – row 24 [Required / High]
Idaho ITD RFP Event 85 – ROWMS: §9 Data Storage &amp; Management ['must' requirement (§9)]
Austin Transit Partnership RFQ (2025): Scope – C. System Administration [RFQ – requirement listed in scope] ×3
Osceola County BRD §6.1.7 (real estate/ROW): BRD §6.1.7/§7.1 – Req 1026 [Should Have]</t>
  </si>
  <si>
    <t xml:space="preserve">ROW-223</t>
  </si>
  <si>
    <t xml:space="preserve">Environments</t>
  </si>
  <si>
    <t xml:space="preserve">Separate test, training and production environments</t>
  </si>
  <si>
    <t xml:space="preserve">Provide separate production, test/UAT and training environments (reusable dummy accounts for training).</t>
  </si>
  <si>
    <t xml:space="preserve">Idaho ITD RFP Event 85 – ROWMS: §9 Environments ['must' requirement (§9)]
Osceola County BRD §6.1.7 (real estate/ROW): BRD §6.1.7/§7.1 – Req 1019 [Must Have]</t>
  </si>
  <si>
    <t xml:space="preserve">Pro SOW / Original SOW: Production, Pre-production, UAT and Training environments</t>
  </si>
  <si>
    <t xml:space="preserve">ROW-224</t>
  </si>
  <si>
    <t xml:space="preserve">Configuration</t>
  </si>
  <si>
    <t xml:space="preserve">Customer-configurable system (minimal vendor support)</t>
  </si>
  <si>
    <t xml:space="preserve">Staff can configure/enhance the system after implementation with minimal vendor help; vendor can be asked for enhancements.</t>
  </si>
  <si>
    <t xml:space="preserve">Osceola County BRD §6.1.7 (real estate/ROW): BRD §6.1.7/§7.1 – Req 1012 [Should Have]</t>
  </si>
  <si>
    <t xml:space="preserve">SOW: business-process forms configurable; admin training on Form Builder/Workflow</t>
  </si>
  <si>
    <t xml:space="preserve">ROW-225</t>
  </si>
  <si>
    <t xml:space="preserve">Usability &amp; Accessibility</t>
  </si>
  <si>
    <t xml:space="preserve">Accessibility</t>
  </si>
  <si>
    <t xml:space="preserve">Accessibility compliance (Section 508, WCAG 2.1 AA, ADA)</t>
  </si>
  <si>
    <t xml:space="preserve">Public-facing and application pages meet Section 508, WCAG 2.1 AA and ADA requirements.</t>
  </si>
  <si>
    <t xml:space="preserve">NH DOT ROWMS &amp; Rail Requirements: Tab 1 General – row 19 [Required / High]; Tab 1 General – row 20 [Required / High]
Idaho ITD RFP Event 85 – ROWMS: §9 Web Application Development ['must' requirement (§9)]</t>
  </si>
  <si>
    <t xml:space="preserve">Section 508; WCAG 2.1 AA; ADA</t>
  </si>
  <si>
    <t xml:space="preserve">ROW-226</t>
  </si>
  <si>
    <t xml:space="preserve">Compatibility</t>
  </si>
  <si>
    <t xml:space="preserve">Browser and device compatibility</t>
  </si>
  <si>
    <t xml:space="preserve">Supports current major browsers (Chrome, Edge, Safari, Firefox) with no plug-ins; works on desktops, tablets and phones.</t>
  </si>
  <si>
    <t xml:space="preserve">NH DOT ROWMS &amp; Rail Requirements: Tab 1 General – row 6 [Required / High]
Idaho ITD RFP Event 85 – ROWMS: §9 System Non-Functional Requirements ['must' requirement (§9)]
Austin Transit Partnership RFQ (2025): Scope – III. Non-Functional Requirements [RFQ – requirement listed in scope]
Osceola County BRD §6.1.7 (real estate/ROW): BRD §6.1.7/§7.1 – Req 1030 [Must Have]</t>
  </si>
  <si>
    <t xml:space="preserve">ROW-227</t>
  </si>
  <si>
    <t xml:space="preserve">Usability</t>
  </si>
  <si>
    <t xml:space="preserve">Ease of use (shortcuts, tool-tips, in-system help, minimal training)</t>
  </si>
  <si>
    <t xml:space="preserve">Keyboard shortcuts and tabbing, tooltips and in-system help, simple UI needing minimal training, role-specific dashboards.</t>
  </si>
  <si>
    <t xml:space="preserve">NH DOT ROWMS &amp; Rail Requirements: Tab 1 General – row 7 [Required / High]; Tab 7 Administrative – row 46 [Required / High]; Tab 7 Administrative – row 47 [Required / High]
Austin Transit Partnership RFQ (2025): Scope – III. Non-Functional Requirements [RFQ – 'should' (non-functional list)]</t>
  </si>
  <si>
    <t xml:space="preserve">SOW: context-sensitive online help</t>
  </si>
  <si>
    <t xml:space="preserve">ROW-228</t>
  </si>
  <si>
    <t xml:space="preserve">Mobile</t>
  </si>
  <si>
    <t xml:space="preserve">Mobile and field access (view, update, upload)</t>
  </si>
  <si>
    <t xml:space="preserve">Access on phones, tablets and laptops; field crews/inspectors view and update records and upload data from the field; project teams see property information in the field.</t>
  </si>
  <si>
    <t xml:space="preserve">NH DOT ROWMS &amp; Rail Requirements: Tab 3 Survey – row 14 [Required / High]
NMDOT RFP 06-0100: App. A §3.2.3 [SOW scope item / RFP purpose]; RFP front matter (Advertisement / Introduction) [SOW scope item / RFP purpose]
WSDOT RFI (2023): Perf. Requirements – Baseline System Capabilities [RFI – performance requirement list (no priority given)]; Perf. Requirements – Construction Management [RFI – performance requirement list (no priority given)]</t>
  </si>
  <si>
    <t xml:space="preserve">Deck: Masterworks platform lists 'Mobile applications'</t>
  </si>
  <si>
    <t xml:space="preserve">ROW-229</t>
  </si>
  <si>
    <t xml:space="preserve">Implementation &amp; Support</t>
  </si>
  <si>
    <t xml:space="preserve">Training</t>
  </si>
  <si>
    <t xml:space="preserve">Training, user documentation and online help</t>
  </si>
  <si>
    <t xml:space="preserve">Training for staff and stakeholders, user/admin manuals, FAQs, online help, training environment; support for staff unfamiliar with digital tools.</t>
  </si>
  <si>
    <t xml:space="preserve">Implementation &amp; support</t>
  </si>
  <si>
    <t xml:space="preserve">NH DOT ROWMS &amp; Rail Requirements: Tab 1 General – row 4 [Required / High]; Tab 4 Land Titles – row 33 [Required / High]
Idaho ITD RFP Event 85 – ROWMS: §9 Training ['must' requirement (§9)]
NMDOT RFP 06-0100: App. A §3.3 [SOW scope item / RFP purpose]
Austin Transit Partnership RFQ (2025): Scope – VI. Key Deliverables [RFQ – requirement listed in scope]</t>
  </si>
  <si>
    <t xml:space="preserve">Pro SOW: sys-admin training, train-the-trainer, materials, online help</t>
  </si>
  <si>
    <t xml:space="preserve">ROW-230</t>
  </si>
  <si>
    <t xml:space="preserve">Support</t>
  </si>
  <si>
    <t xml:space="preserve">Support, SLAs, releases and updates</t>
  </si>
  <si>
    <t xml:space="preserve">Ongoing support/maintenance, SLAs and response times, regular software updates (Idaho: at least every six months), release roadmap, support desk.</t>
  </si>
  <si>
    <t xml:space="preserve">Idaho ITD RFP Event 85 – ROWMS: §9 ROWMS Maintenance and Incident Response ['must' requirement (§9)]
NMDOT RFP 06-0100: App. A §3.3 [SOW scope item / RFP purpose]
Austin Transit Partnership RFQ (2025): Scope – VI. Key Deliverables [RFQ – requirement listed in scope]; Scope – III. Non-Functional Requirements [RFQ – 'should' (non-functional list)]
Osceola County BRD §6.1.7 (real estate/ROW): BRD §6.1.7/§7.1 – Req 1010 [Must Have]</t>
  </si>
  <si>
    <t xml:space="preserve">Pro SOW: hyper-care support (4 weekly calls over 1 month); ongoing support terms not evidenced</t>
  </si>
  <si>
    <t xml:space="preserve">ROW-231</t>
  </si>
  <si>
    <t xml:space="preserve">Delivery</t>
  </si>
  <si>
    <t xml:space="preserve">Project management, implementation and testing (UAT)</t>
  </si>
  <si>
    <t xml:space="preserve">Project plan, status reporting, discovery/requirements, configuration, test plans (integration, load, UAT), go-live support.</t>
  </si>
  <si>
    <t xml:space="preserve">Idaho ITD RFP Event 85 – ROWMS: §9 Project Management and Implementation ['must' requirement (§9)]
NMDOT RFP 06-0100: App. A §3.1 [SOW scope item / RFP purpose]
Austin Transit Partnership RFQ (2025): Scope – VI. Key Deliverables [RFQ – requirement listed in scope]</t>
  </si>
  <si>
    <t xml:space="preserve">Pro SOW: project planning, RVM sessions, configuration, UAT, release, closeout</t>
  </si>
  <si>
    <t xml:space="preserve">ROW-232</t>
  </si>
  <si>
    <t xml:space="preserve">Data ownership, open data licence and exit/archive</t>
  </si>
  <si>
    <t xml:space="preserve">Customer keeps ownership/governance of its data, can archive data outside the application, and has an open licence for sharing data with other agency applications.</t>
  </si>
  <si>
    <t xml:space="preserve">Idaho ITD RFP Event 85 – ROWMS: §9 System Non-Functional Requirements ['must' requirement (§9)]; §9.13 Project Transition and Data Ownership (appendix text) ['must' requirement (§9)] ×2</t>
  </si>
  <si>
    <t xml:space="preserve">ROW-233</t>
  </si>
  <si>
    <t xml:space="preserve">Parent-tract numbering and tax-parcel (APN or GPIN) link</t>
  </si>
  <si>
    <t xml:space="preserve">Number parent tracts and link each parcel record to its county tax-parcel identifier (APN or GPIN).</t>
  </si>
  <si>
    <t xml:space="preserve">Stated – no priority</t>
  </si>
  <si>
    <t xml:space="preserve">Process source (not an RFP)</t>
  </si>
  <si>
    <t xml:space="preserve">Tier 6: stated, no priority</t>
  </si>
  <si>
    <t xml:space="preserve">New_Requirements.md – Diagram 1 [process step shown in sources; no priority given]
Evidence cited: Phase I/II flows; REM; Tampa guideline; IRWIN 8.1; Centerville data sheet</t>
  </si>
  <si>
    <t xml:space="preserve">Not assessed (new)</t>
  </si>
  <si>
    <t xml:space="preserve">Added from New_Requirements.md; not checked against the Aurigo documents (roadmap treats everything as to-do).</t>
  </si>
  <si>
    <t xml:space="preserve">Related: ROW-005 (parcel record), ROW-122 (legacy parcel-ID numbering).</t>
  </si>
  <si>
    <t xml:space="preserve">ROW-234</t>
  </si>
  <si>
    <t xml:space="preserve">Acquisition interests per parcel with areas by interest type</t>
  </si>
  <si>
    <t xml:space="preserve">For each parcel, record the area taken by acquisition interest type: fee taking, remainder, permanent, utility, temporary and proffer.</t>
  </si>
  <si>
    <t xml:space="preserve">New_Requirements.md – Diagram 1 [process step shown in sources; no priority given]
Evidence cited: Centerville ROW data sheet columns; TH parcel master list</t>
  </si>
  <si>
    <t xml:space="preserve">Distinct from owner interests (ROW-014). Related: ROW-119 (area accounting).</t>
  </si>
  <si>
    <t xml:space="preserve">ROW-235</t>
  </si>
  <si>
    <t xml:space="preserve">Mapping</t>
  </si>
  <si>
    <t xml:space="preserve">Color map / corridor map</t>
  </si>
  <si>
    <t xml:space="preserve">Produce a color map or corridor map of the project and its parcels.</t>
  </si>
  <si>
    <t xml:space="preserve">New_Requirements.md – Diagram 1 [process step shown in sources; no priority given]
Evidence cited: Phase I flow; REM Phase I; TH step 5</t>
  </si>
  <si>
    <t xml:space="preserve">Source names the need but not the content or mechanics. Related: ROW-180, ROW-182.</t>
  </si>
  <si>
    <t xml:space="preserve">ROW-005, ROW-180</t>
  </si>
  <si>
    <t xml:space="preserve">ROW-236</t>
  </si>
  <si>
    <t xml:space="preserve">Field activity</t>
  </si>
  <si>
    <t xml:space="preserve">Site visit record</t>
  </si>
  <si>
    <t xml:space="preserve">Record the site visit to the parcel, including the pre-negotiation inspection.</t>
  </si>
  <si>
    <t xml:space="preserve">New_Requirements.md – Diagram 1 [process step shown in sources; no priority given]
Evidence cited: Phase II activity D; HDOT pre-negotiation inspection</t>
  </si>
  <si>
    <t xml:space="preserve">ROW-005, ROW-019</t>
  </si>
  <si>
    <t xml:space="preserve">ROW-237</t>
  </si>
  <si>
    <t xml:space="preserve">Notices</t>
  </si>
  <si>
    <t xml:space="preserve">Notice to Owner issuance and tracking</t>
  </si>
  <si>
    <t xml:space="preserve">Issue the Notice to Owner and track it.</t>
  </si>
  <si>
    <t xml:space="preserve">New_Requirements.md – Diagram 1 [process step shown in sources; no priority given]
Evidence cited: Phase II activity E; REM; HDOT; NDOT 7.403 (24.102(b))</t>
  </si>
  <si>
    <t xml:space="preserve">24.102(b) (as cited in NDOT 7.403)</t>
  </si>
  <si>
    <t xml:space="preserve">Related: ROW-094 (relocation notices), ROW-066 (offer package and delivery tracking).</t>
  </si>
  <si>
    <t xml:space="preserve">ROW-014, ROW-170, ROW-175</t>
  </si>
  <si>
    <t xml:space="preserve">ROW-238</t>
  </si>
  <si>
    <t xml:space="preserve">Authorization</t>
  </si>
  <si>
    <t xml:space="preserve">ROW Authorization and supplemental authorization tracking</t>
  </si>
  <si>
    <t xml:space="preserve">Track preliminary and acquisition ROW authorizations and supplemental authorizations, with the authorized amount and federal share.</t>
  </si>
  <si>
    <t xml:space="preserve">New_Requirements.md – Diagram 1 [process step shown in sources; no priority given]
Evidence cited: HDOT authorization text; NDOT 1.504; TH 4.4; lifecycle Stage 1</t>
  </si>
  <si>
    <t xml:space="preserve">ROW-004, ROW-165</t>
  </si>
  <si>
    <t xml:space="preserve">ROW-239</t>
  </si>
  <si>
    <t xml:space="preserve">Engineer and surveyor plan-review gate per parcel</t>
  </si>
  <si>
    <t xml:space="preserve">Require an engineer and surveyor plan review for each parcel at design milestones before the parcel moves on.</t>
  </si>
  <si>
    <t xml:space="preserve">New_Requirements.md – Diagram 1 [process step shown in sources; no priority given]
Evidence cited: ROW Engineering SOP; ROW Acquisition overview; PA SOP</t>
  </si>
  <si>
    <t xml:space="preserve">Related: ROW-072 (ordered steps with step-gating).</t>
  </si>
  <si>
    <t xml:space="preserve">ROW-010, ROW-072</t>
  </si>
  <si>
    <t xml:space="preserve">ROW-240</t>
  </si>
  <si>
    <t xml:space="preserve">Approvals</t>
  </si>
  <si>
    <t xml:space="preserve">Staff report and certificate of necessity</t>
  </si>
  <si>
    <t xml:space="preserve">Prepare and route the staff report and certificate of necessity used in the PA, ED, Donation and Early SOPs.</t>
  </si>
  <si>
    <t xml:space="preserve">New_Requirements.md – Diagram 1 [process step shown in sources; no priority given]
Evidence cited: PA, ED, Donation, Early SOPs</t>
  </si>
  <si>
    <t xml:space="preserve">SOP abbreviations (PA, ED, TH, REM, etc.) are used as written in the source; not expanded.</t>
  </si>
  <si>
    <t xml:space="preserve">ROW-046, ROW-071, ROW-175</t>
  </si>
  <si>
    <t xml:space="preserve">ROW-241</t>
  </si>
  <si>
    <t xml:space="preserve">Acquisition plan</t>
  </si>
  <si>
    <t xml:space="preserve">ROW acquisition plan and schedule</t>
  </si>
  <si>
    <t xml:space="preserve">Prepare the acquisition plan: parcel list, timeline per parcel and budget.</t>
  </si>
  <si>
    <t xml:space="preserve">New_Requirements.md – Diagram 1 [process step shown in sources; no priority given]
Evidence cited: Lifecycle Stage 1 deliverable; TH phase 1 outputs</t>
  </si>
  <si>
    <t xml:space="preserve">Related: ROW-010, ROW-013.</t>
  </si>
  <si>
    <t xml:space="preserve">ROW-004, ROW-005, ROW-010</t>
  </si>
  <si>
    <t xml:space="preserve">ROW-242</t>
  </si>
  <si>
    <t xml:space="preserve">Title order</t>
  </si>
  <si>
    <t xml:space="preserve">Title order tracking</t>
  </si>
  <si>
    <t xml:space="preserve">Track each title order: purchase order, order, received and QC dates.</t>
  </si>
  <si>
    <t xml:space="preserve">New_Requirements.md – Diagram 2 [process step shown in sources; no priority given]
Evidence cited: Phase I flow; REM Phase I; IRWIN 8.2; TH</t>
  </si>
  <si>
    <t xml:space="preserve">Related: ROW-031 (external title-examiner contracts).</t>
  </si>
  <si>
    <t xml:space="preserve">ROW-005, ROW-157, ROW-165</t>
  </si>
  <si>
    <t xml:space="preserve">ROW-243</t>
  </si>
  <si>
    <t xml:space="preserve">Title company invoice approval and payment hand-off</t>
  </si>
  <si>
    <t xml:space="preserve">Approve the title company invoice and hand it off for payment.</t>
  </si>
  <si>
    <t xml:space="preserve">New_Requirements.md – Diagram 2 [process step shown in sources; no priority given]
Evidence cited: REM Phase I</t>
  </si>
  <si>
    <t xml:space="preserve">Needs the payment engine (ROW-108).</t>
  </si>
  <si>
    <t xml:space="preserve">ROW-108, ROW-242</t>
  </si>
  <si>
    <t xml:space="preserve">ROW-244</t>
  </si>
  <si>
    <t xml:space="preserve">Existing right-of-way verification</t>
  </si>
  <si>
    <t xml:space="preserve">Verify the limits and interest type of existing right of way.</t>
  </si>
  <si>
    <t xml:space="preserve">New_Requirements.md – Diagram 2 [process step shown in sources; no priority given]
Evidence cited: NDOT 5.204</t>
  </si>
  <si>
    <t xml:space="preserve">ROW-023, ROW-234</t>
  </si>
  <si>
    <t xml:space="preserve">ROW-245</t>
  </si>
  <si>
    <t xml:space="preserve">GIS document QC of legals, sketches and boundary survey</t>
  </si>
  <si>
    <t xml:space="preserve">Quality-check legal descriptions, sketches and the boundary survey in GIS.</t>
  </si>
  <si>
    <t xml:space="preserve">New_Requirements.md – Diagram 2 [process step shown in sources; no priority given]
Evidence cited: REM; GP; EF; Phase II C; Conveyance D</t>
  </si>
  <si>
    <t xml:space="preserve">ROW-034, ROW-180</t>
  </si>
  <si>
    <t xml:space="preserve">ROW-246</t>
  </si>
  <si>
    <t xml:space="preserve">Legal and sketch review loop</t>
  </si>
  <si>
    <t xml:space="preserve">Route legals and sketches to engineering or the consultant for review and correction; the title examiner initials the legals.</t>
  </si>
  <si>
    <t xml:space="preserve">New_Requirements.md – Diagram 2 [process step shown in sources; no priority given]
Evidence cited: REM Phase II</t>
  </si>
  <si>
    <t xml:space="preserve">ROW-247</t>
  </si>
  <si>
    <t xml:space="preserve">Appraisal package assembly</t>
  </si>
  <si>
    <t xml:space="preserve">Assemble the package that goes to appraisal.</t>
  </si>
  <si>
    <t xml:space="preserve">New_Requirements.md – Diagram 2 [process step shown in sources; no priority given]
Evidence cited: REM Phase II; GP</t>
  </si>
  <si>
    <t xml:space="preserve">Source gives the step but not the package contents.</t>
  </si>
  <si>
    <t xml:space="preserve">ROW-023, ROW-034, ROW-246</t>
  </si>
  <si>
    <t xml:space="preserve">ROW-248</t>
  </si>
  <si>
    <t xml:space="preserve">Appraisal intake from the title package and request for appraisal</t>
  </si>
  <si>
    <t xml:space="preserve">Receive the title package and issue the request for appraisal.</t>
  </si>
  <si>
    <t xml:space="preserve">New_Requirements.md – Diagram 3 [process step shown in sources; no priority given]
Evidence cited: Phase II F; REM; HDOT request for appraisal</t>
  </si>
  <si>
    <t xml:space="preserve">ROW-249</t>
  </si>
  <si>
    <t xml:space="preserve">Pre-appraisal</t>
  </si>
  <si>
    <t xml:space="preserve">ROW map adequacy check before partial-take appraisal</t>
  </si>
  <si>
    <t xml:space="preserve">Check that the ROW map is adequate before a partial-take appraisal begins.</t>
  </si>
  <si>
    <t xml:space="preserve">New_Requirements.md – Diagram 3 [process step shown in sources; no priority given]
Evidence cited: HDOT authorization text (23 CFR 712.204(c)(2))</t>
  </si>
  <si>
    <t xml:space="preserve">23 CFR 712.204(c)(2)</t>
  </si>
  <si>
    <t xml:space="preserve">ROW-234, ROW-248</t>
  </si>
  <si>
    <t xml:space="preserve">ROW-250</t>
  </si>
  <si>
    <t xml:space="preserve">Appraisal scoping per parent tract and pre-appraisal planning meeting</t>
  </si>
  <si>
    <t xml:space="preserve">Define the appraisal scope for each parent tract and record the pre-appraisal planning meeting.</t>
  </si>
  <si>
    <t xml:space="preserve">New_Requirements.md – Diagram 3 [process step shown in sources; no priority given]
Evidence cited: REM; GP; Phase II G; NDOT 6.304</t>
  </si>
  <si>
    <t xml:space="preserve">ROW-042, ROW-233</t>
  </si>
  <si>
    <t xml:space="preserve">ROW-251</t>
  </si>
  <si>
    <t xml:space="preserve">Owner invitation to accompany the appraiser, with response record</t>
  </si>
  <si>
    <t xml:space="preserve">Invite the owner to accompany the appraiser and record the owner response.</t>
  </si>
  <si>
    <t xml:space="preserve">New_Requirements.md – Diagram 3 [process step shown in sources; no priority given]
Evidence cited: NDOT 6.204 (24.102(c)(1)); TH</t>
  </si>
  <si>
    <t xml:space="preserve">24.102(c)(1) (as cited in NDOT 6.204)</t>
  </si>
  <si>
    <t xml:space="preserve">ROW-014, ROW-042, ROW-175</t>
  </si>
  <si>
    <t xml:space="preserve">ROW-252</t>
  </si>
  <si>
    <t xml:space="preserve">Specialty (cure) report request, review and approval</t>
  </si>
  <si>
    <t xml:space="preserve">Request, review and approve specialty (cure) reports.</t>
  </si>
  <si>
    <t xml:space="preserve">New_Requirements.md – Diagram 3 [process step shown in sources; no priority given]
Evidence cited: NDOT 6.212; PA/ED SOPs; IRWIN specialist evaluation</t>
  </si>
  <si>
    <t xml:space="preserve">ROW-042, ROW-043</t>
  </si>
  <si>
    <t xml:space="preserve">ROW-253</t>
  </si>
  <si>
    <t xml:space="preserve">Reviewer Determination of value</t>
  </si>
  <si>
    <t xml:space="preserve">Record the reviewer determination of value.</t>
  </si>
  <si>
    <t xml:space="preserve">New_Requirements.md – Diagram 3 [process step shown in sources; no priority given]
Evidence cited: NDOT 6.408, 6.501</t>
  </si>
  <si>
    <t xml:space="preserve">Related: ROW-044 (appraisal review), ROW-046 (just-compensation approval).</t>
  </si>
  <si>
    <t xml:space="preserve">ROW-254</t>
  </si>
  <si>
    <t xml:space="preserve">Uneconomic remnant determination in appraisal review</t>
  </si>
  <si>
    <t xml:space="preserve">Record the uneconomic remnant determination as part of appraisal review.</t>
  </si>
  <si>
    <t xml:space="preserve">New_Requirements.md – Diagram 3 [process step shown in sources; no priority given]
Evidence cited: NDOT 6.405 (24.102(k))</t>
  </si>
  <si>
    <t xml:space="preserve">24.102(k) (as cited in NDOT 6.405)</t>
  </si>
  <si>
    <t xml:space="preserve">Related: ROW-007 (remnant creation).</t>
  </si>
  <si>
    <t xml:space="preserve">ROW-007, ROW-044</t>
  </si>
  <si>
    <t xml:space="preserve">ROW-255</t>
  </si>
  <si>
    <t xml:space="preserve">Approved appraisal hand-off to Title and the agent</t>
  </si>
  <si>
    <t xml:space="preserve">Send the approved appraisal to Title and to the agent.</t>
  </si>
  <si>
    <t xml:space="preserve">New_Requirements.md – Diagram 3 [process step shown in sources; no priority given]
Evidence cited: PA SOP; ED SOP</t>
  </si>
  <si>
    <t xml:space="preserve">ROW-256</t>
  </si>
  <si>
    <t xml:space="preserve">Pre-offer management review, funding check and offer threshold limits</t>
  </si>
  <si>
    <t xml:space="preserve">Before an offer is made, management reviews the parcel, funding is checked and offers are held to threshold limits.</t>
  </si>
  <si>
    <t xml:space="preserve">New_Requirements.md – Diagram 4 [process step shown in sources; no priority given]
Evidence cited: PA SOP; ED SOP</t>
  </si>
  <si>
    <t xml:space="preserve">ROW-004, ROW-046, ROW-165</t>
  </si>
  <si>
    <t xml:space="preserve">ROW-257</t>
  </si>
  <si>
    <t xml:space="preserve">Settlement analysis</t>
  </si>
  <si>
    <t xml:space="preserve">Preliminary and final settlement analysis</t>
  </si>
  <si>
    <t xml:space="preserve">Prepare a preliminary and a final settlement analysis.</t>
  </si>
  <si>
    <t xml:space="preserve">New_Requirements.md – Diagram 4 [process step shown in sources; no priority given]
Evidence cited: REM Phase II; Settlement SOP; GP</t>
  </si>
  <si>
    <t xml:space="preserve">Related: ROW-065 (settlement recording).</t>
  </si>
  <si>
    <t xml:space="preserve">ROW-043, ROW-063</t>
  </si>
  <si>
    <t xml:space="preserve">ROW-258</t>
  </si>
  <si>
    <t xml:space="preserve">Offer approval chain by dollar threshold</t>
  </si>
  <si>
    <t xml:space="preserve">Route the offer through approvers determined by the dollar amount.</t>
  </si>
  <si>
    <t xml:space="preserve">New_Requirements.md – Diagram 4 [process step shown in sources; no priority given]
Evidence cited: PA SOP; ED SOP; TH 5.5</t>
  </si>
  <si>
    <t xml:space="preserve">ROW-165, ROW-256</t>
  </si>
  <si>
    <t xml:space="preserve">ROW-259</t>
  </si>
  <si>
    <t xml:space="preserve">Negotiation with other interest holders and tenants (releases, subordinations)</t>
  </si>
  <si>
    <t xml:space="preserve">Negotiate with other interest holders and tenants and record releases and subordinations.</t>
  </si>
  <si>
    <t xml:space="preserve">New_Requirements.md – Diagram 4 [process step shown in sources; no priority given]
Evidence cited: REM; NDOT 7.410</t>
  </si>
  <si>
    <t xml:space="preserve">ROW-014, ROW-016, ROW-063</t>
  </si>
  <si>
    <t xml:space="preserve">ROW-260</t>
  </si>
  <si>
    <t xml:space="preserve">Revised offer with appraisal summary statement and explanation</t>
  </si>
  <si>
    <t xml:space="preserve">Issue a revised offer with the appraisal summary statement and an explanation.</t>
  </si>
  <si>
    <t xml:space="preserve">New_Requirements.md – Diagram 4 [process step shown in sources; no priority given]
Evidence cited: NDOT 7.506 (24.102(g)); IRWIN</t>
  </si>
  <si>
    <t xml:space="preserve">24.102(g) (as cited in NDOT 7.506)</t>
  </si>
  <si>
    <t xml:space="preserve">Related: ROW-050 (appraisal summary sheet), ROW-063.</t>
  </si>
  <si>
    <t xml:space="preserve">ROW-050, ROW-063, ROW-175</t>
  </si>
  <si>
    <t xml:space="preserve">ROW-261</t>
  </si>
  <si>
    <t xml:space="preserve">Agreement approval chain, including board or ordinance approval</t>
  </si>
  <si>
    <t xml:space="preserve">Route agreements for approval, including board or ordinance approval where required.</t>
  </si>
  <si>
    <t xml:space="preserve">New_Requirements.md – Diagram 4 [process step shown in sources; no priority given]
Evidence cited: PA SOP; REM; GP; Phase II O</t>
  </si>
  <si>
    <t xml:space="preserve">ROW-065, ROW-165</t>
  </si>
  <si>
    <t xml:space="preserve">ROW-262</t>
  </si>
  <si>
    <t xml:space="preserve">Agreements</t>
  </si>
  <si>
    <t xml:space="preserve">Subordination and co-existence letter tracking</t>
  </si>
  <si>
    <t xml:space="preserve">Track subordination and co-existence letters.</t>
  </si>
  <si>
    <t xml:space="preserve">New_Requirements.md – Diagram 4 [process step shown in sources; no priority given]
Evidence cited: PA SOP; Donation SOP</t>
  </si>
  <si>
    <t xml:space="preserve">ROW-065, ROW-175</t>
  </si>
  <si>
    <t xml:space="preserve">ROW-263</t>
  </si>
  <si>
    <t xml:space="preserve">Environmental site assessment ordering and tracking (Phase I, Phase II)</t>
  </si>
  <si>
    <t xml:space="preserve">Order and track Phase I and Phase II environmental site assessments.</t>
  </si>
  <si>
    <t xml:space="preserve">New_Requirements.md – Diagram 4 [process step shown in sources; no priority given]
Evidence cited: REM; GP; PA SOP; AUS</t>
  </si>
  <si>
    <t xml:space="preserve">Related: ROW-076 (NEPA clearance).</t>
  </si>
  <si>
    <t xml:space="preserve">ROW-076, ROW-157</t>
  </si>
  <si>
    <t xml:space="preserve">ROW-264</t>
  </si>
  <si>
    <t xml:space="preserve">Possession and use agreement and acquisition incentive payments</t>
  </si>
  <si>
    <t xml:space="preserve">Record the possession and use agreement and acquisition incentive payments.</t>
  </si>
  <si>
    <t xml:space="preserve">New_Requirements.md – Diagram 4 [process step shown in sources; no priority given]
Evidence cited: NDOT 7.505, 7.514; AUS</t>
  </si>
  <si>
    <t xml:space="preserve">ROW-265</t>
  </si>
  <si>
    <t xml:space="preserve">Acquisition paths</t>
  </si>
  <si>
    <t xml:space="preserve">Donation acquisition path</t>
  </si>
  <si>
    <t xml:space="preserve">Provide a donation acquisition path in the acquisition workflow.</t>
  </si>
  <si>
    <t xml:space="preserve">New_Requirements.md – Diagram 4 [process step shown in sources; no priority given]
Evidence cited: Donation SOP; HDOT; NDOT 6.203</t>
  </si>
  <si>
    <t xml:space="preserve">Related: ROW-071 (configurable workflow per acquisition type).</t>
  </si>
  <si>
    <t xml:space="preserve">ROW-065, ROW-071, ROW-175</t>
  </si>
  <si>
    <t xml:space="preserve">ROW-266</t>
  </si>
  <si>
    <t xml:space="preserve">Developer conveyance path</t>
  </si>
  <si>
    <t xml:space="preserve">Provide a developer conveyance path in the acquisition workflow.</t>
  </si>
  <si>
    <t xml:space="preserve">New_Requirements.md – Diagram 4 [process step shown in sources; no priority given]
Evidence cited: Developer SOP; Conveyance workflow; EF</t>
  </si>
  <si>
    <t xml:space="preserve">Related: ROW-071.</t>
  </si>
  <si>
    <t xml:space="preserve">ROW-267</t>
  </si>
  <si>
    <t xml:space="preserve">Early acquisition path</t>
  </si>
  <si>
    <t xml:space="preserve">Provide an early acquisition path in the acquisition workflow.</t>
  </si>
  <si>
    <t xml:space="preserve">New_Requirements.md – Diagram 4 [process step shown in sources; no priority given]
Evidence cited: Early Acquisition SOP</t>
  </si>
  <si>
    <t xml:space="preserve">ROW-268</t>
  </si>
  <si>
    <t xml:space="preserve">Parcel Closed status after recording and file review</t>
  </si>
  <si>
    <t xml:space="preserve">Set the parcel to Closed after the deed is recorded and the file has been reviewed.</t>
  </si>
  <si>
    <t xml:space="preserve">New_Requirements.md – Diagram 4 [process step shown in sources; no priority given]
Evidence cited: PA SOP; NDOT 7.435; EF</t>
  </si>
  <si>
    <t xml:space="preserve">ROW-079, ROW-289</t>
  </si>
  <si>
    <t xml:space="preserve">ROW-269</t>
  </si>
  <si>
    <t xml:space="preserve">Relocation planning study</t>
  </si>
  <si>
    <t xml:space="preserve">Prepare a relocation planning study for the project.</t>
  </si>
  <si>
    <t xml:space="preserve">New_Requirements.md – Diagram 5 [process step shown in sources; no priority given]
Evidence cited: ATP 6.3a; NDOT 8.403 (24.205(a))</t>
  </si>
  <si>
    <t xml:space="preserve">24.205(a) (as cited in NDOT 8.403)</t>
  </si>
  <si>
    <t xml:space="preserve">ROW-014, ROW-085</t>
  </si>
  <si>
    <t xml:space="preserve">ROW-270</t>
  </si>
  <si>
    <t xml:space="preserve">General Information Notice issuance and tracking</t>
  </si>
  <si>
    <t xml:space="preserve">Issue the General Information Notice to displacees and track it.</t>
  </si>
  <si>
    <t xml:space="preserve">New_Requirements.md – Diagram 5 [process step shown in sources; no priority given]
Evidence cited: ATP 6.1a; NDOT 8.408; HDOT</t>
  </si>
  <si>
    <t xml:space="preserve">Related: ROW-094 (relocation notices).</t>
  </si>
  <si>
    <t xml:space="preserve">ROW-271</t>
  </si>
  <si>
    <t xml:space="preserve">Relocation advisory interview and needs assessment</t>
  </si>
  <si>
    <t xml:space="preserve">Record the relocation advisory interview and the needs assessment.</t>
  </si>
  <si>
    <t xml:space="preserve">New_Requirements.md – Diagram 5 [process step shown in sources; no priority given]
Evidence cited: ATP 6.3b</t>
  </si>
  <si>
    <t xml:space="preserve">Related: ROW-086 (questionnaires).</t>
  </si>
  <si>
    <t xml:space="preserve">ROW-272</t>
  </si>
  <si>
    <t xml:space="preserve">Comparable replacement dwelling availability notice</t>
  </si>
  <si>
    <t xml:space="preserve">Issue and track the notice that a comparable replacement dwelling is available.</t>
  </si>
  <si>
    <t xml:space="preserve">New_Requirements.md – Diagram 5 [process step shown in sources; no priority given]
Evidence cited: ATP 6.2, 6.3b; NDOT 8.412</t>
  </si>
  <si>
    <t xml:space="preserve">Related: ROW-092 (replacement-housing study).</t>
  </si>
  <si>
    <t xml:space="preserve">ROW-092, ROW-094</t>
  </si>
  <si>
    <t xml:space="preserve">ROW-273</t>
  </si>
  <si>
    <t xml:space="preserve">Decent, safe and sanitary inspection of replacement dwelling</t>
  </si>
  <si>
    <t xml:space="preserve">Record the decent, safe and sanitary inspection of the replacement dwelling.</t>
  </si>
  <si>
    <t xml:space="preserve">New_Requirements.md – Diagram 5 [process step shown in sources; no priority given]
Evidence cited: ATP 6.3b(2)(c)</t>
  </si>
  <si>
    <t xml:space="preserve">ROW-092, ROW-272</t>
  </si>
  <si>
    <t xml:space="preserve">ROW-274</t>
  </si>
  <si>
    <t xml:space="preserve">Relocation appeal tracking</t>
  </si>
  <si>
    <t xml:space="preserve">Track relocation appeals.</t>
  </si>
  <si>
    <t xml:space="preserve">New_Requirements.md – Diagram 5 [process step shown in sources; no priority given]
Evidence cited: ATP 12; NDOT 8.411 (24.10)</t>
  </si>
  <si>
    <t xml:space="preserve">24.10 (as cited in NDOT 8.411)</t>
  </si>
  <si>
    <t xml:space="preserve">ROW-275</t>
  </si>
  <si>
    <t xml:space="preserve">Advance relocation payment for hardship</t>
  </si>
  <si>
    <t xml:space="preserve">Support an advance relocation payment in cases of hardship.</t>
  </si>
  <si>
    <t xml:space="preserve">New_Requirements.md – Diagram 5 [process step shown in sources; no priority given]
Evidence cited: ATP 6.5c</t>
  </si>
  <si>
    <t xml:space="preserve">ROW-276</t>
  </si>
  <si>
    <t xml:space="preserve">Replacement housing of last resort</t>
  </si>
  <si>
    <t xml:space="preserve">Support replacement housing of last resort.</t>
  </si>
  <si>
    <t xml:space="preserve">New_Requirements.md – Diagram 5 [process step shown in sources; no priority given]
Evidence cited: ATP 8.4; NDOT 8.425</t>
  </si>
  <si>
    <t xml:space="preserve">ROW-277</t>
  </si>
  <si>
    <t xml:space="preserve">Eligibility exceptions (eviction for cause, alien not lawfully present, no duplication)</t>
  </si>
  <si>
    <t xml:space="preserve">Apply eligibility exceptions: eviction for cause, alien not lawfully present, and no duplication of payments.</t>
  </si>
  <si>
    <t xml:space="preserve">New_Requirements.md – Diagram 5 [process step shown in sources; no priority given]
Evidence cited: ATP 6.4, 6.6, 6.8</t>
  </si>
  <si>
    <t xml:space="preserve">Related: ROW-087 (eligibility and amounts).</t>
  </si>
  <si>
    <t xml:space="preserve">ROW-085, ROW-087</t>
  </si>
  <si>
    <t xml:space="preserve">ROW-278</t>
  </si>
  <si>
    <t xml:space="preserve">Condemnation approval chain (supervisor, review board, resolution, board)</t>
  </si>
  <si>
    <t xml:space="preserve">Route the condemnation request through supervisor, review board, resolution and board approvals.</t>
  </si>
  <si>
    <t xml:space="preserve">New_Requirements.md – Diagram 6 [process step shown in sources; no priority given]
Evidence cited: NDOT 2.410, 7.515; ED SOP; HDOT impasse</t>
  </si>
  <si>
    <t xml:space="preserve">Related: ROW-101.</t>
  </si>
  <si>
    <t xml:space="preserve">ROW-067, ROW-100</t>
  </si>
  <si>
    <t xml:space="preserve">ROW-279</t>
  </si>
  <si>
    <t xml:space="preserve">Order of taking checklist and pre-order updates (appraisal, cure report, schedules)</t>
  </si>
  <si>
    <t xml:space="preserve">Check the order-of-taking requirements and update the appraisal, cure report and schedules before the order.</t>
  </si>
  <si>
    <t xml:space="preserve">New_Requirements.md – Diagram 6 [process step shown in sources; no priority given]
Evidence cited: ED SOP</t>
  </si>
  <si>
    <t xml:space="preserve">Related: ROW-102.</t>
  </si>
  <si>
    <t xml:space="preserve">ROW-050, ROW-100, ROW-252</t>
  </si>
  <si>
    <t xml:space="preserve">ROW-280</t>
  </si>
  <si>
    <t xml:space="preserve">Order of possession and court deposit tracking</t>
  </si>
  <si>
    <t xml:space="preserve">Track the order of possession and the court deposit.</t>
  </si>
  <si>
    <t xml:space="preserve">New_Requirements.md – Diagram 6 [process step shown in sources; no priority given]
Evidence cited: HDOT 2.9; ED SOP; RFF packet</t>
  </si>
  <si>
    <t xml:space="preserve">ROW-108, ROW-279</t>
  </si>
  <si>
    <t xml:space="preserve">ROW-281</t>
  </si>
  <si>
    <t xml:space="preserve">Owner deposit withdrawal tracking</t>
  </si>
  <si>
    <t xml:space="preserve">Track the owner withdrawal of the court deposit.</t>
  </si>
  <si>
    <t xml:space="preserve">New_Requirements.md – Diagram 6 [process step shown in sources; no priority given]
Evidence cited: HDOT 2.9</t>
  </si>
  <si>
    <t xml:space="preserve">ROW-282</t>
  </si>
  <si>
    <t xml:space="preserve">Settlement and stipulated judgment during litigation</t>
  </si>
  <si>
    <t xml:space="preserve">Record a settlement and stipulated judgment reached during litigation.</t>
  </si>
  <si>
    <t xml:space="preserve">New_Requirements.md – Diagram 6 [process step shown in sources; no priority given]
Evidence cited: HDOT 2.9; ED SOP</t>
  </si>
  <si>
    <t xml:space="preserve">Related: ROW-065.</t>
  </si>
  <si>
    <t xml:space="preserve">ROW-065, ROW-100</t>
  </si>
  <si>
    <t xml:space="preserve">ROW-283</t>
  </si>
  <si>
    <t xml:space="preserve">Trial report</t>
  </si>
  <si>
    <t xml:space="preserve">Prepare and store the trial report.</t>
  </si>
  <si>
    <t xml:space="preserve">ROW-284</t>
  </si>
  <si>
    <t xml:space="preserve">Fund reservation or budget transfer before approval, with fund tracking log</t>
  </si>
  <si>
    <t xml:space="preserve">Reserve funds or transfer budget before approval and keep a fund tracking log.</t>
  </si>
  <si>
    <t xml:space="preserve">New_Requirements.md – Diagram 7 [process step shown in sources; no priority given]
Evidence cited: RFF SOP; PA SOP</t>
  </si>
  <si>
    <t xml:space="preserve">Related: ROW-116 (funds monitoring and encumbrance).</t>
  </si>
  <si>
    <t xml:space="preserve">ROW-285</t>
  </si>
  <si>
    <t xml:space="preserve">Request for Funds form: transaction type, attachments, payees</t>
  </si>
  <si>
    <t xml:space="preserve">Provide a Request for Funds form with transaction type, attachments and payees.</t>
  </si>
  <si>
    <t xml:space="preserve">New_Requirements.md – Diagram 7 [process step shown in sources; no priority given]
Evidence cited: RFF SOP</t>
  </si>
  <si>
    <t xml:space="preserve">Related: ROW-108 (payment request and multi-payee approval).</t>
  </si>
  <si>
    <t xml:space="preserve">ROW-286</t>
  </si>
  <si>
    <t xml:space="preserve">Court-ordered payment processing with allocation by parcel</t>
  </si>
  <si>
    <t xml:space="preserve">Process court-ordered payments and allocate them by parcel.</t>
  </si>
  <si>
    <t xml:space="preserve">New_Requirements.md – Diagram 7 [process step shown in sources; no priority given]
Evidence cited: RFF SOP packet; HDOT 2.9</t>
  </si>
  <si>
    <t xml:space="preserve">Related: ROW-104 (legal and court payments).</t>
  </si>
  <si>
    <t xml:space="preserve">ROW-108, ROW-280</t>
  </si>
  <si>
    <t xml:space="preserve">ROW-287</t>
  </si>
  <si>
    <t xml:space="preserve">Owner incidental expense and tax proration claims</t>
  </si>
  <si>
    <t xml:space="preserve">Capture and pay owner incidental expense and tax proration claims.</t>
  </si>
  <si>
    <t xml:space="preserve">New_Requirements.md – Diagram 7 [process step shown in sources; no priority given]
Evidence cited: HDOT closing; REM</t>
  </si>
  <si>
    <t xml:space="preserve">ROW-014, ROW-108</t>
  </si>
  <si>
    <t xml:space="preserve">ROW-288</t>
  </si>
  <si>
    <t xml:space="preserve">Closing</t>
  </si>
  <si>
    <t xml:space="preserve">Closing document package approved as to form, certified bill and notary</t>
  </si>
  <si>
    <t xml:space="preserve">Assemble the closing document package: approved as to form, certified bill and notary.</t>
  </si>
  <si>
    <t xml:space="preserve">New_Requirements.md – Diagram 7 [process step shown in sources; no priority given]
Evidence cited: HDOT 2.8; REM; PA SOP</t>
  </si>
  <si>
    <t xml:space="preserve">Related: ROW-110 (closing scheduling), ROW-179 (e-signature).</t>
  </si>
  <si>
    <t xml:space="preserve">ROW-110, ROW-175, ROW-179</t>
  </si>
  <si>
    <t xml:space="preserve">ROW-289</t>
  </si>
  <si>
    <t xml:space="preserve">Recording, distribution of recorded documents and recorded-deed copy</t>
  </si>
  <si>
    <t xml:space="preserve">Record the documents, distribute the recorded documents and keep a copy of the recorded deed.</t>
  </si>
  <si>
    <t xml:space="preserve">New_Requirements.md – Diagram 7 [process step shown in sources; no priority given]
Evidence cited: HDOT 2.8; PA SOP; EF</t>
  </si>
  <si>
    <t xml:space="preserve">ROW-290</t>
  </si>
  <si>
    <t xml:space="preserve">Federal reimbursement verification and billing</t>
  </si>
  <si>
    <t xml:space="preserve">Verify costs eligible for federal reimbursement and prepare the billing.</t>
  </si>
  <si>
    <t xml:space="preserve">New_Requirements.md – Diagram 7 [process step shown in sources; no priority given]
Evidence cited: HDOT objectives (23 CFR 710.203); limited evidence</t>
  </si>
  <si>
    <t xml:space="preserve">23 CFR 710.203</t>
  </si>
  <si>
    <t xml:space="preserve">Limited evidence: source names the need but not the mechanics. Related: ROW-113, ROW-079.</t>
  </si>
  <si>
    <t xml:space="preserve">ROW-108, ROW-113, ROW-238</t>
  </si>
  <si>
    <t xml:space="preserve">ROW-291</t>
  </si>
  <si>
    <t xml:space="preserve">Lifecycle</t>
  </si>
  <si>
    <t xml:space="preserve">Property management activation after title vests and occupant clearance notice</t>
  </si>
  <si>
    <t xml:space="preserve">Activate property management for a parcel after title vests and issue the occupant clearance notice.</t>
  </si>
  <si>
    <t xml:space="preserve">New_Requirements.md – Diagram 8 [process step shown in sources; no priority given]
Evidence cited: NDOT 13.601-602</t>
  </si>
  <si>
    <t xml:space="preserve">Related: ROW-082 (handoff to property management).</t>
  </si>
  <si>
    <t xml:space="preserve">ROW-082, ROW-117</t>
  </si>
  <si>
    <t xml:space="preserve">ROW-292</t>
  </si>
  <si>
    <t xml:space="preserve">Initial occupant rental and rent-back agreement</t>
  </si>
  <si>
    <t xml:space="preserve">Create the initial occupant rental and rent-back agreement, including fair rental.</t>
  </si>
  <si>
    <t xml:space="preserve">New_Requirements.md – Diagram 8 [process step shown in sources; no priority given]
Evidence cited: NDOT 13.603; HDOT 2.2 Fair Rental</t>
  </si>
  <si>
    <t xml:space="preserve">Overlaps ROW-083 (lease-back / occupancy agreement); delivered in the same release.</t>
  </si>
  <si>
    <t xml:space="preserve">ROW-125, ROW-291</t>
  </si>
  <si>
    <t xml:space="preserve">ROW-293</t>
  </si>
  <si>
    <t xml:space="preserve">Inventory of improvements verification and move-in/move-out checklist</t>
  </si>
  <si>
    <t xml:space="preserve">Verify the inventory of improvements and complete a move-in / move-out checklist.</t>
  </si>
  <si>
    <t xml:space="preserve">New_Requirements.md – Diagram 8 [process step shown in sources; no priority given]
Evidence cited: NDOT 13.604</t>
  </si>
  <si>
    <t xml:space="preserve">ROW-117, ROW-136</t>
  </si>
  <si>
    <t xml:space="preserve">ROW-294</t>
  </si>
  <si>
    <t xml:space="preserve">Surveillance and security of vacant property</t>
  </si>
  <si>
    <t xml:space="preserve">Record surveillance and security measures for vacant property.</t>
  </si>
  <si>
    <t xml:space="preserve">New_Requirements.md – Diagram 8 [process step shown in sources; no priority given]
Evidence cited: NDOT 13.606</t>
  </si>
  <si>
    <t xml:space="preserve">ROW-136, ROW-291</t>
  </si>
  <si>
    <t xml:space="preserve">ROW-295</t>
  </si>
  <si>
    <t xml:space="preserve">Occupancy permit application, processing, revocation and encroachment handling</t>
  </si>
  <si>
    <t xml:space="preserve">Take occupancy permit applications, process and revoke permits, and handle encroachments.</t>
  </si>
  <si>
    <t xml:space="preserve">New_Requirements.md – Diagram 8 [process step shown in sources; no priority given]
Evidence cited: NDOT ch.10</t>
  </si>
  <si>
    <t xml:space="preserve">Related: ROW-130 (use agreements and encroachments), ROW-131.</t>
  </si>
  <si>
    <t xml:space="preserve">ROW-130, ROW-165, ROW-175</t>
  </si>
  <si>
    <t xml:space="preserve">ROW-296</t>
  </si>
  <si>
    <t xml:space="preserve">Excess property review committee and declaration</t>
  </si>
  <si>
    <t xml:space="preserve">Route excess property to a review committee and record the declaration.</t>
  </si>
  <si>
    <t xml:space="preserve">New_Requirements.md – Diagram 8 [process step shown in sources; no priority given]
Evidence cited: NDOT 13.801-802; TBW</t>
  </si>
  <si>
    <t xml:space="preserve">Related: ROW-139.</t>
  </si>
  <si>
    <t xml:space="preserve">ROW-139, ROW-165</t>
  </si>
  <si>
    <t xml:space="preserve">ROW-297</t>
  </si>
  <si>
    <t xml:space="preserve">Disposal legal description and survey-grade sketch</t>
  </si>
  <si>
    <t xml:space="preserve">Prepare the legal description and a survey-grade sketch for the property to be disposed of.</t>
  </si>
  <si>
    <t xml:space="preserve">New_Requirements.md – Diagram 8 [process step shown in sources; no priority given]
Evidence cited: NDOT 13.803</t>
  </si>
  <si>
    <t xml:space="preserve">ROW-034, ROW-296</t>
  </si>
  <si>
    <t xml:space="preserve">ROW-298</t>
  </si>
  <si>
    <t xml:space="preserve">Fair market value and minimum-bid rules for disposal</t>
  </si>
  <si>
    <t xml:space="preserve">Apply fair market value and minimum-bid rules to disposals.</t>
  </si>
  <si>
    <t xml:space="preserve">New_Requirements.md – Diagram 8 [process step shown in sources; no priority given]
Evidence cited: NDOT 13.804, 13.509</t>
  </si>
  <si>
    <t xml:space="preserve">ROW-054, ROW-296</t>
  </si>
  <si>
    <t xml:space="preserve">ROW-299</t>
  </si>
  <si>
    <t xml:space="preserve">Environmental clearance for disposal</t>
  </si>
  <si>
    <t xml:space="preserve">Record environmental clearance before disposal.</t>
  </si>
  <si>
    <t xml:space="preserve">New_Requirements.md – Diagram 8 [process step shown in sources; no priority given]
Evidence cited: NDOT 13.805</t>
  </si>
  <si>
    <t xml:space="preserve">ROW-076, ROW-296</t>
  </si>
  <si>
    <t xml:space="preserve">ROW-300</t>
  </si>
  <si>
    <t xml:space="preserve">Board approval of disposal</t>
  </si>
  <si>
    <t xml:space="preserve">Record board approval of the disposal.</t>
  </si>
  <si>
    <t xml:space="preserve">New_Requirements.md – Diagram 8 [process step shown in sources; no priority given]
Evidence cited: NDOT 13.806; TBW</t>
  </si>
  <si>
    <t xml:space="preserve">ROW-165, ROW-297, ROW-298, ROW-299</t>
  </si>
  <si>
    <t xml:space="preserve">ROW-301</t>
  </si>
  <si>
    <t xml:space="preserve">Disposal methods (auction, sealed bid, direct sale, relinquishment, abandonment, adjacent owner, member government)</t>
  </si>
  <si>
    <t xml:space="preserve">Support each disposal method: auction, sealed bid, direct sale, relinquishment, abandonment, sale to adjacent owner and transfer to a member government.</t>
  </si>
  <si>
    <t xml:space="preserve">New_Requirements.md – Diagram 8 [process step shown in sources; no priority given]
Evidence cited: NDOT 13.807, 13.510-511; TBW</t>
  </si>
  <si>
    <t xml:space="preserve">Related: ROW-140 (property sale and FHWA approval).</t>
  </si>
  <si>
    <t xml:space="preserve">ROW-302</t>
  </si>
  <si>
    <t xml:space="preserve">Prior rights determination and documentation</t>
  </si>
  <si>
    <t xml:space="preserve">Determine and document a utility company prior rights.</t>
  </si>
  <si>
    <t xml:space="preserve">New_Requirements.md – Diagram 9 [process step shown in sources; no priority given]
Evidence cited: NDOT 9.401; PUA matrix</t>
  </si>
  <si>
    <t xml:space="preserve">ROW-150, ROW-154</t>
  </si>
  <si>
    <t xml:space="preserve">ROW-303</t>
  </si>
  <si>
    <t xml:space="preserve">Authorization to incur costs and preliminary engineering agreement</t>
  </si>
  <si>
    <t xml:space="preserve">Record the authorization to incur costs and the preliminary engineering agreement with the utility.</t>
  </si>
  <si>
    <t xml:space="preserve">New_Requirements.md – Diagram 9 [process step shown in sources; no priority given]
Evidence cited: NDOT 9.302, 9.400</t>
  </si>
  <si>
    <t xml:space="preserve">ROW-152, ROW-302</t>
  </si>
  <si>
    <t xml:space="preserve">ROW-304</t>
  </si>
  <si>
    <t xml:space="preserve">Notice to relocate with statutory minimum notice</t>
  </si>
  <si>
    <t xml:space="preserve">Issue the notice to relocate and track the statutory minimum notice period.</t>
  </si>
  <si>
    <t xml:space="preserve">New_Requirements.md – Diagram 9 [process step shown in sources; no priority given]
Evidence cited: NDOT 9.302F</t>
  </si>
  <si>
    <t xml:space="preserve">ROW-150, ROW-170, ROW-175, ROW-302</t>
  </si>
  <si>
    <t xml:space="preserve">ROW-305</t>
  </si>
  <si>
    <t xml:space="preserve">Review of utility estimates and plans against reimbursement criteria</t>
  </si>
  <si>
    <t xml:space="preserve">Review utility estimates and plans against the reimbursement criteria.</t>
  </si>
  <si>
    <t xml:space="preserve">New_Requirements.md – Diagram 9 [process step shown in sources; no priority given]
Evidence cited: NDOT 9.401-402</t>
  </si>
  <si>
    <t xml:space="preserve">Related: ROW-152 (utility agreements and reimbursement eligibility).</t>
  </si>
  <si>
    <t xml:space="preserve">ROW-152, ROW-303</t>
  </si>
  <si>
    <t xml:space="preserve">ROW-306</t>
  </si>
  <si>
    <t xml:space="preserve">Buy America compliance for reimbursable utility work</t>
  </si>
  <si>
    <t xml:space="preserve">Track Buy America compliance for reimbursable utility work.</t>
  </si>
  <si>
    <t xml:space="preserve">New_Requirements.md – Diagram 9 [process step shown in sources; no priority given]
Evidence cited: NDOT 9.302G</t>
  </si>
  <si>
    <t xml:space="preserve">ROW-307</t>
  </si>
  <si>
    <t xml:space="preserve">Utility notice to proceed, change orders and progress or final invoicing</t>
  </si>
  <si>
    <t xml:space="preserve">Issue the notice to proceed, manage change orders and handle progress and final invoicing for utility work.</t>
  </si>
  <si>
    <t xml:space="preserve">New_Requirements.md – Diagram 9 [process step shown in sources; no priority given]
Evidence cited: NDOT 9.502-503</t>
  </si>
  <si>
    <t xml:space="preserve">Invoicing needs the payment engine (ROW-108).</t>
  </si>
  <si>
    <t xml:space="preserve">ROW-108, ROW-152, ROW-303</t>
  </si>
  <si>
    <t xml:space="preserve">ROW-308</t>
  </si>
  <si>
    <t xml:space="preserve">Utility company design and construction milestones and cross-project priority</t>
  </si>
  <si>
    <t xml:space="preserve">Track utility company design and construction milestones and priority across projects.</t>
  </si>
  <si>
    <t xml:space="preserve">New_Requirements.md – Diagram 9 [process step shown in sources; no priority given]
Evidence cited: PUA coordination matrix</t>
  </si>
  <si>
    <t xml:space="preserve">Related: ROW-151.</t>
  </si>
  <si>
    <t xml:space="preserve">ROW-151, ROW-166</t>
  </si>
  <si>
    <t xml:space="preserve">ROW-309</t>
  </si>
  <si>
    <t xml:space="preserve">Utility clearance for ROW certification</t>
  </si>
  <si>
    <t xml:space="preserve">Record utility clearance for ROW certification.</t>
  </si>
  <si>
    <t xml:space="preserve">New_Requirements.md – Diagram 9 [process step shown in sources; no priority given]
Evidence cited: NDOT 9.501; HDOT 2.15</t>
  </si>
  <si>
    <t xml:space="preserve">Feeds ROW-319 and ROW-321.</t>
  </si>
  <si>
    <t xml:space="preserve">ROW-150, ROW-151</t>
  </si>
  <si>
    <t xml:space="preserve">ROW-310</t>
  </si>
  <si>
    <t xml:space="preserve">Railroad</t>
  </si>
  <si>
    <t xml:space="preserve">Railroad project type, plan submittal and funding of crossings</t>
  </si>
  <si>
    <t xml:space="preserve">Support a railroad project type with plan submittal and funding of crossings.</t>
  </si>
  <si>
    <t xml:space="preserve">New_Requirements.md – Diagram 9 [process step shown in sources; no priority given]
Evidence cited: NDOT 11.301-303</t>
  </si>
  <si>
    <t xml:space="preserve">Partly overlaps ROW-145 (NH railroad crossing agreements); not merged.</t>
  </si>
  <si>
    <t xml:space="preserve">ROW-001, ROW-157, ROW-166</t>
  </si>
  <si>
    <t xml:space="preserve">ROW-311</t>
  </si>
  <si>
    <t xml:space="preserve">Site Clearance &amp; Demolition</t>
  </si>
  <si>
    <t xml:space="preserve">Possession</t>
  </si>
  <si>
    <t xml:space="preserve">Occupant vacancy verification and site condition record at possession</t>
  </si>
  <si>
    <t xml:space="preserve">Verify the occupants have vacated and record site condition at possession.</t>
  </si>
  <si>
    <t xml:space="preserve">New_Requirements.md – Diagram 10 [process step shown in sources; no priority given]
Evidence cited: Practitioner Handbook Phase 6</t>
  </si>
  <si>
    <t xml:space="preserve">ROW-085, ROW-098</t>
  </si>
  <si>
    <t xml:space="preserve">ROW-312</t>
  </si>
  <si>
    <t xml:space="preserve">Hazardous materials</t>
  </si>
  <si>
    <t xml:space="preserve">Hazardous-materials assessment before demolition</t>
  </si>
  <si>
    <t xml:space="preserve">Record the hazardous-materials assessment before demolition.</t>
  </si>
  <si>
    <t xml:space="preserve">New_Requirements.md – Diagram 10 [process step shown in sources; no priority given]
Evidence cited: NDOT 13.610; Practitioner Handbook Phase 6</t>
  </si>
  <si>
    <t xml:space="preserve">ROW-098, ROW-263</t>
  </si>
  <si>
    <t xml:space="preserve">ROW-313</t>
  </si>
  <si>
    <t xml:space="preserve">Improvements</t>
  </si>
  <si>
    <t xml:space="preserve">Sale of improvements (auction, sealed bid, sale to public agency) as an alternative to demolition</t>
  </si>
  <si>
    <t xml:space="preserve">Support the sale of improvements by auction, sealed bid or sale to a public agency as an alternative to demolition.</t>
  </si>
  <si>
    <t xml:space="preserve">New_Requirements.md – Diagram 10 [process step shown in sources; no priority given]
Evidence cited: NDOT 13.608</t>
  </si>
  <si>
    <t xml:space="preserve">ROW-098, ROW-312</t>
  </si>
  <si>
    <t xml:space="preserve">ROW-314</t>
  </si>
  <si>
    <t xml:space="preserve">Demolition</t>
  </si>
  <si>
    <t xml:space="preserve">Demolition permits, utility disconnection and abatement</t>
  </si>
  <si>
    <t xml:space="preserve">Track demolition permits, utility disconnection and abatement.</t>
  </si>
  <si>
    <t xml:space="preserve">New_Requirements.md – Diagram 10 [process step shown in sources; no priority given]
Evidence cited: Practitioner Handbook Phase 6; NDOT 13.602</t>
  </si>
  <si>
    <t xml:space="preserve">Related: ROW-098 (demolition and property-securing requests).</t>
  </si>
  <si>
    <t xml:space="preserve">ROW-315</t>
  </si>
  <si>
    <t xml:space="preserve">Clearance contract</t>
  </si>
  <si>
    <t xml:space="preserve">Clearance contract and monitoring</t>
  </si>
  <si>
    <t xml:space="preserve">Manage the clearance contract and monitor the work.</t>
  </si>
  <si>
    <t xml:space="preserve">New_Requirements.md – Diagram 10 [process step shown in sources; no priority given]
Evidence cited: NDOT 13.609-610</t>
  </si>
  <si>
    <t xml:space="preserve">Related: ROW-115 (consultant / contractor management).</t>
  </si>
  <si>
    <t xml:space="preserve">ROW-115, ROW-314</t>
  </si>
  <si>
    <t xml:space="preserve">ROW-316</t>
  </si>
  <si>
    <t xml:space="preserve">Environmental commitments</t>
  </si>
  <si>
    <t xml:space="preserve">Environmental commitments tracked through clearance</t>
  </si>
  <si>
    <t xml:space="preserve">Track environmental commitments until clearance is complete.</t>
  </si>
  <si>
    <t xml:space="preserve">Related: ROW-076.</t>
  </si>
  <si>
    <t xml:space="preserve">ROW-317</t>
  </si>
  <si>
    <t xml:space="preserve">Documentation</t>
  </si>
  <si>
    <t xml:space="preserve">Construction-ready site documentation</t>
  </si>
  <si>
    <t xml:space="preserve">Document that the site is ready for construction.</t>
  </si>
  <si>
    <t xml:space="preserve">ROW-157, ROW-311, ROW-314</t>
  </si>
  <si>
    <t xml:space="preserve">ROW-318</t>
  </si>
  <si>
    <t xml:space="preserve">ROW Certification</t>
  </si>
  <si>
    <t xml:space="preserve">Status</t>
  </si>
  <si>
    <t xml:space="preserve">ROW status matrix across acquisition, relocation, utilities and condemnation</t>
  </si>
  <si>
    <t xml:space="preserve">Show a status matrix that combines acquisition, relocation, utilities and condemnation status.</t>
  </si>
  <si>
    <t xml:space="preserve">New_Requirements.md – Diagram 10 [process step shown in sources; no priority given]
Evidence cited: Lifecycle Stage 9</t>
  </si>
  <si>
    <t xml:space="preserve">ROW-085, ROW-100, ROW-150, ROW-195</t>
  </si>
  <si>
    <t xml:space="preserve">ROW-319</t>
  </si>
  <si>
    <t xml:space="preserve">Checklist</t>
  </si>
  <si>
    <t xml:space="preserve">Project certification checklist per parcel</t>
  </si>
  <si>
    <t xml:space="preserve">Provide a certification checklist for each parcel.</t>
  </si>
  <si>
    <t xml:space="preserve">New_Requirements.md – Diagram 10 [process step shown in sources; no priority given]
Evidence cited: NDOT 7.435</t>
  </si>
  <si>
    <t xml:space="preserve">ROW-268, ROW-309, ROW-318</t>
  </si>
  <si>
    <t xml:space="preserve">ROW-320</t>
  </si>
  <si>
    <t xml:space="preserve">Encroachments, structures and hazardous waste identification in the status report</t>
  </si>
  <si>
    <t xml:space="preserve">Identify encroachments, structures and hazardous waste in the status report.</t>
  </si>
  <si>
    <t xml:space="preserve">New_Requirements.md – Diagram 10 [process step shown in sources; no priority given]
Evidence cited: HDOT (FHWA key elements)</t>
  </si>
  <si>
    <t xml:space="preserve">ROW-312, ROW-318</t>
  </si>
  <si>
    <t xml:space="preserve">ROW-321</t>
  </si>
  <si>
    <t xml:space="preserve">Certification</t>
  </si>
  <si>
    <t xml:space="preserve">ROW Certification document with configurable type, conditions and mitigation</t>
  </si>
  <si>
    <t xml:space="preserve">Produce the ROW Certification document with a configurable certification type, conditions and mitigation.</t>
  </si>
  <si>
    <t xml:space="preserve">New_Requirements.md – Diagram 10 [process step shown in sources; no priority given]
Evidence cited: Lifecycle Stage 9; TH 4.5; HDOT</t>
  </si>
  <si>
    <t xml:space="preserve">ROW-175, ROW-319, ROW-320</t>
  </si>
  <si>
    <t xml:space="preserve">ROW-322</t>
  </si>
  <si>
    <t xml:space="preserve">Approval</t>
  </si>
  <si>
    <t xml:space="preserve">Certification approval: internal and federal concurrence</t>
  </si>
  <si>
    <t xml:space="preserve">Route the certification for internal approval and federal concurrence.</t>
  </si>
  <si>
    <t xml:space="preserve">New_Requirements.md – Diagram 10 [process step shown in sources; no priority given]
Evidence cited: Lifecycle Stage 9; HDOT</t>
  </si>
  <si>
    <t xml:space="preserve">ROW-165, ROW-321</t>
  </si>
  <si>
    <t xml:space="preserve">ROW-323</t>
  </si>
  <si>
    <t xml:space="preserve">Release to construction after certification (authorization to advertise)</t>
  </si>
  <si>
    <t xml:space="preserve">Release the project to construction after certification, including the authorization to advertise.</t>
  </si>
  <si>
    <t xml:space="preserve">New_Requirements.md – Diagram 10 [process step shown in sources; no priority given]
Evidence cited: HDOT; lifecycle Stage 9</t>
  </si>
  <si>
    <t xml:space="preserve">CITY / COUNTY LEVEL REQUIREMENTS – NOT PART OF THE CORE ROW MODULE</t>
  </si>
  <si>
    <t xml:space="preserve">These requirements come from city/county documents (Detroit, Calgary, Regina, Smart ROW matrix) about managing USE of public right-of-way: permits, inspections, work scheduling, fees, street/curb data. They are separate from ROW land acquisition and are kept for reference only. A few state-DOT items that overlap (e.g., inspections, conflict analysis) are included where they matter here.</t>
  </si>
  <si>
    <t xml:space="preserve">Level</t>
  </si>
  <si>
    <t xml:space="preserve">DET</t>
  </si>
  <si>
    <t xml:space="preserve">CAL</t>
  </si>
  <si>
    <t xml:space="preserve">REG</t>
  </si>
  <si>
    <t xml:space="preserve">SRW</t>
  </si>
  <si>
    <t xml:space="preserve">CTY-001</t>
  </si>
  <si>
    <t xml:space="preserve">City / County</t>
  </si>
  <si>
    <t xml:space="preserve">Permit Intake &amp; Application</t>
  </si>
  <si>
    <t xml:space="preserve">Application</t>
  </si>
  <si>
    <t xml:space="preserve">Online permit application and submission</t>
  </si>
  <si>
    <t xml:space="preserve">Applicants complete a digital application form, attach supporting documents, submit for approval, see status and cancel requests; staff handle intake and workflow-based processing across permit types.</t>
  </si>
  <si>
    <t xml:space="preserve">City of Detroit RFP 185263: §2 Statement of Work [RFP – stated expectation (no priority given)]
City of Calgary RFI 25-006: §2.4 Functional capabilities [RFI – expected capability (no priority given)]
City of Regina RFI 25-00072: §4 Required features – General [RFI – 'Required software features'] ×4
Smart ROW Features Matrix (DM1343 App. D): Features List – row 17 [Must Have]</t>
  </si>
  <si>
    <t xml:space="preserve">Domain note: this and the following permit features come from Regina, Calgary, Detroit and Smart ROW documents, which concern permits for using public right-of-way (street use, excavation, utility work) rather than land acquisition.</t>
  </si>
  <si>
    <t xml:space="preserve">CTY-002</t>
  </si>
  <si>
    <t xml:space="preserve">Permit-type-specific forms and configurable form fields</t>
  </si>
  <si>
    <t xml:space="preserve">Each permit type has its own form and submission requirements, pre-populated where possible; form fields can be changed over time; mandatory fields must be complete before submission; permit generation configurable by administrators.</t>
  </si>
  <si>
    <t xml:space="preserve">City of Calgary RFI 25-006: §2.4 Functional capabilities [RFI – expected capability (no priority given)]
City of Regina RFI 25-00072: §4 Required features – External Applicants [RFI – 'Required software features'] ×2; §4 Required features – General [RFI – 'Required software features']</t>
  </si>
  <si>
    <t xml:space="preserve">CTY-003</t>
  </si>
  <si>
    <t xml:space="preserve">Map-based work-area drawing and location selection</t>
  </si>
  <si>
    <t xml:space="preserve">Applicants draw/select the affected area on a map using points, lines or polygons; staff can edit the shape.</t>
  </si>
  <si>
    <t xml:space="preserve">City of Calgary RFI 25-006: §2.4 Functional capabilities [RFI – expected capability (no priority given)]
City of Regina RFI 25-00072: §4 Required features – General [RFI – 'Required software features']; §4 Required features – Permit Management [RFI – 'Required software features']; §4 Optional features – Permit Management [RFI – 'Optional software features']</t>
  </si>
  <si>
    <t xml:space="preserve">CTY-004</t>
  </si>
  <si>
    <t xml:space="preserve">Accounts</t>
  </si>
  <si>
    <t xml:space="preserve">External self-service accounts and internal login</t>
  </si>
  <si>
    <t xml:space="preserve">Internal users sign in with their organisation login; external users self-register with an automated approval path when information is complete; group-based company access; corporate administrators who can see all company requests (optional).</t>
  </si>
  <si>
    <t xml:space="preserve">City of Calgary RFI 25-006: §2.4 Functional capabilities [RFI – expected capability (no priority given)]
City of Regina RFI 25-00072: §4 Required features – General [RFI – 'Required software features']; §4 Optional features – External Applicants [RFI – 'Optional software features'] ×2; §4 Optional features – Permit Management [RFI – 'Optional software features']; §4 Optional features – General [RFI – 'Optional software features']</t>
  </si>
  <si>
    <t xml:space="preserve">Calgary: Azure-based myID</t>
  </si>
  <si>
    <t xml:space="preserve">CTY-005</t>
  </si>
  <si>
    <t xml:space="preserve">Staff-entered requests and ad hoc paper-permit capture</t>
  </si>
  <si>
    <t xml:space="preserve">Staff can enter requests on behalf of utility companies, and store ad hoc requests that need a paper-based permit.</t>
  </si>
  <si>
    <t xml:space="preserve">City of Regina RFI 25-00072: §4 Required features – External Applicants [RFI – 'Required software features']; §4 Required features – Permit Management [RFI – 'Required software features']</t>
  </si>
  <si>
    <t xml:space="preserve">CTY-006</t>
  </si>
  <si>
    <t xml:space="preserve">Lead-time validation and blackout dates/areas</t>
  </si>
  <si>
    <t xml:space="preserve">Warn applicants when the request is inside the minimum lead time for the permit type; define dates and areas where work cannot be requested; set minimum lead time per permit type.</t>
  </si>
  <si>
    <t xml:space="preserve">City of Regina RFI 25-00072: §4 Required features – General [RFI – 'Required software features']; §4 Optional features – Permit Management [RFI – 'Optional software features'] ×2</t>
  </si>
  <si>
    <t xml:space="preserve">CTY-007</t>
  </si>
  <si>
    <t xml:space="preserve">Repeat-event copy and multi-phase work plans</t>
  </si>
  <si>
    <t xml:space="preserve">Copy a prior permit/work plan for repeating events; program multi-phase accommodation work under one permit.</t>
  </si>
  <si>
    <t xml:space="preserve">City of Regina RFI 25-00072: §4 Optional features – General [RFI – 'Optional software features']; §4 Optional features – Permit Management [RFI – 'Optional software features'] ×2</t>
  </si>
  <si>
    <t xml:space="preserve">CTY-008</t>
  </si>
  <si>
    <t xml:space="preserve">Over-dimensional move routing</t>
  </si>
  <si>
    <t xml:space="preserve">Requestor plots a travel path and vehicle height; check the route against GIS conflict points such as traffic signals.</t>
  </si>
  <si>
    <t xml:space="preserve">City of Regina RFI 25-00072: §4 Optional features – General [RFI – 'Optional software features']; §4 Optional features – Permit Management [RFI – 'Optional software features']</t>
  </si>
  <si>
    <t xml:space="preserve">CTY-009</t>
  </si>
  <si>
    <t xml:space="preserve">Visibility rules by applicant type (own vs. city vs. external requests)</t>
  </si>
  <si>
    <t xml:space="preserve">External parties see only their own submissions; internal users see their own and City requests in detail and only general information and primary contact for external requests; internal customers have the same options as external ones.</t>
  </si>
  <si>
    <t xml:space="preserve">City of Regina RFI 25-00072: §4 Required features – External Applicants [RFI – 'Required software features']; §4 Required features – Internal Applicants [RFI – 'Required software features'] ×2</t>
  </si>
  <si>
    <t xml:space="preserve">CTY-010</t>
  </si>
  <si>
    <t xml:space="preserve">Traffic accommodation plan selection and self-serve accommodation set-up</t>
  </si>
  <si>
    <t xml:space="preserve">Applicants indicate whether a traffic accommodation plan is needed; internal parties can self-serve simple set-ups (e.g., their own no-parking signs) but still submit a request so City-wide work is tracked, with an acknowledgement to check the conflict tool; internal request type defaults to Traffic Accommodation where possible.</t>
  </si>
  <si>
    <t xml:space="preserve">City of Regina RFI 25-00072: §4 Required features – External Applicants [RFI – 'Required software features']; §4 Required features – Internal Applicants [RFI – 'Required software features']; §4 Optional features – Internal Applicants [RFI – 'Optional software features']</t>
  </si>
  <si>
    <t xml:space="preserve">C3DR (Regina conflict-viewing tool)</t>
  </si>
  <si>
    <t xml:space="preserve">CTY-011</t>
  </si>
  <si>
    <t xml:space="preserve">Additional permit contacts with special instructions</t>
  </si>
  <si>
    <t xml:space="preserve">Identify other contacts for a permit and specify special instructions for them.</t>
  </si>
  <si>
    <t xml:space="preserve">City of Regina RFI 25-00072: §4 Required features – General [RFI – 'Required software features']</t>
  </si>
  <si>
    <t xml:space="preserve">CTY-012</t>
  </si>
  <si>
    <t xml:space="preserve">Permit Review &amp; Approval</t>
  </si>
  <si>
    <t xml:space="preserve">Permit review, requirements requests and approval workflow</t>
  </si>
  <si>
    <t xml:space="preserve">City review can ask for requirements (insurance, plans) that must be supplied before approval; operator workflow presents relevant information per user type; group/role-based approvals; Director override logged in history; pre-approval for some request types.</t>
  </si>
  <si>
    <t xml:space="preserve">NMDOT RFP 06-0100: App. A §3.2.2 [SOW scope item / RFP purpose]
City of Calgary RFI 25-006: §2.4 Functional capabilities [RFI – expected capability (no priority given)]
City of Regina RFI 25-00072: §4 Required features – External Applicants [RFI – 'Required software features']; §4 Required features – Permit Management [RFI – 'Required software features'] ×3</t>
  </si>
  <si>
    <t xml:space="preserve">CTY-013</t>
  </si>
  <si>
    <t xml:space="preserve">Permit and area conflict detection</t>
  </si>
  <si>
    <t xml:space="preserve">Flag permits that conflict with one another or with flagged areas/dates for review, with override for approvals; Smart ROW calls for automated conflict detection among ingested features and regulations; NM asks for spatial conflict analysis.</t>
  </si>
  <si>
    <t xml:space="preserve">NMDOT RFP 06-0100: App. A §3.2.4 [SOW scope item / RFP purpose]
City of Detroit RFP 185263: §2 Statement of Work [RFP – stated expectation (no priority given)]
City of Regina RFI 25-00072: §4 Required features – Permit Management [RFI – 'Required software features']
Smart ROW Features Matrix (DM1343 App. D): Features List – row 11 [Must Have]</t>
  </si>
  <si>
    <t xml:space="preserve">CTY-014</t>
  </si>
  <si>
    <t xml:space="preserve">Request for comments (RFC) to internal stakeholders</t>
  </si>
  <si>
    <t xml:space="preserve">Send a request for comments with reminders to specific parties and store replies centrally without forcing a formal approval bottleneck.</t>
  </si>
  <si>
    <t xml:space="preserve">City of Regina RFI 25-00072: §4 Optional features – Permit Management [RFI – 'Optional software features']</t>
  </si>
  <si>
    <t xml:space="preserve">CTY-015</t>
  </si>
  <si>
    <t xml:space="preserve">Change tracking and re-approval on updates</t>
  </si>
  <si>
    <t xml:space="preserve">Show changes to dates/contacts, keep history of initial request details, resubmit approved requests for approval after changes, and trigger fresh review when scheduling changes.</t>
  </si>
  <si>
    <t xml:space="preserve">City of Regina RFI 25-00072: §4 Required features – Permit Management [RFI – 'Required software features'] ×2</t>
  </si>
  <si>
    <t xml:space="preserve">CTY-016</t>
  </si>
  <si>
    <t xml:space="preserve">Stale-request auto-cancellation</t>
  </si>
  <si>
    <t xml:space="preserve">Automatically cancel and notify when a request awaiting customer information has been stale for X days.</t>
  </si>
  <si>
    <t xml:space="preserve">City of Regina RFI 25-00072: §4 Optional features – Data and Governance [RFI – 'Optional software features']</t>
  </si>
  <si>
    <t xml:space="preserve">CTY-017</t>
  </si>
  <si>
    <t xml:space="preserve">Segment-based spatial mapping of ROW impacts and activity coordination</t>
  </si>
  <si>
    <t xml:space="preserve">Map ROW impacts by street segment and coordinate utility, capital-project and special-event activity in the right-of-way.</t>
  </si>
  <si>
    <t xml:space="preserve">City of Detroit RFP 185263: §2 Statement of Work [RFP – stated expectation (no priority given)] ×2</t>
  </si>
  <si>
    <t xml:space="preserve">Detroit's Attachment G (system specs) is referenced but was not in the file, so Detroit contributes only these high-level objectives and its data/API expectations.</t>
  </si>
  <si>
    <t xml:space="preserve">CTY-018</t>
  </si>
  <si>
    <t xml:space="preserve">Modular architecture and future-proofing (incl. AI)</t>
  </si>
  <si>
    <t xml:space="preserve">Modular design so features/permit types can be added without disrupting others; describe roadmap and how AI may optimize workflow; automation features and error detection/correction for data from external sources.</t>
  </si>
  <si>
    <t xml:space="preserve">City of Calgary RFI 25-006: §2.4 Functional capabilities [RFI – expected capability (no priority given)] ×5
City of Regina RFI 25-00072: §4 Required features – Permit Management [RFI – 'Required software features']</t>
  </si>
  <si>
    <t xml:space="preserve">CTY-019</t>
  </si>
  <si>
    <t xml:space="preserve">Permit search and location-based lookup</t>
  </si>
  <si>
    <t xml:space="preserve">Flexible filtering across permits, inspections, customers, permit types and dates; administrators search by road name, job number, area, start/end dates, and select a location to find all current or future permits there.</t>
  </si>
  <si>
    <t xml:space="preserve">CTY-020</t>
  </si>
  <si>
    <t xml:space="preserve">Permit Issuance &amp; Documents</t>
  </si>
  <si>
    <t xml:space="preserve">Issuance</t>
  </si>
  <si>
    <t xml:space="preserve">Auto-generated permit document with terms and conditions</t>
  </si>
  <si>
    <t xml:space="preserve">Approved requests auto-generate an editable permit document, application details, terms and conditions (by permit type, updateable) and financial invoice, pre-filled with applicant and approver details.</t>
  </si>
  <si>
    <t xml:space="preserve">City of Regina RFI 25-00072: §4 Required features – Permit Management [RFI – 'Required software features'] ×3</t>
  </si>
  <si>
    <t xml:space="preserve">CTY-021</t>
  </si>
  <si>
    <t xml:space="preserve">Applicant acceptance of conditions before permit release</t>
  </si>
  <si>
    <t xml:space="preserve">Applicant must agree to each condition and see the cost before viewing the permit; permit number is withheld until accepted; approved permits are sent digitally.</t>
  </si>
  <si>
    <t xml:space="preserve">City of Regina RFI 25-00072: §4 Required features – General [RFI – 'Required software features'] ×3</t>
  </si>
  <si>
    <t xml:space="preserve">CTY-022</t>
  </si>
  <si>
    <t xml:space="preserve">Permit status, change history and unique permit ID</t>
  </si>
  <si>
    <t xml:space="preserve">Status shown on the permit record with automatic tracking of what changed, when and by whom; each permit/job gets an autogenerated ID to link related information; who created/updated/scheduled/completed is traceable.</t>
  </si>
  <si>
    <t xml:space="preserve">City of Calgary RFI 25-006: §2.4 Functional capabilities [RFI – expected capability (no priority given)] ×2
City of Regina RFI 25-00072: §4 Required features – Permit Management [RFI – 'Required software features'] ×3; §4 Required features – Data and Governance [RFI – 'Required software features']</t>
  </si>
  <si>
    <t xml:space="preserve">CTY-023</t>
  </si>
  <si>
    <t xml:space="preserve">Permit-expiry reminders and post-permit survey</t>
  </si>
  <si>
    <t xml:space="preserve">Auto-email customers when a long-running permit is nearing its end (customizable template, selectable permit types); auto-send a feedback survey at permit conclusion.</t>
  </si>
  <si>
    <t xml:space="preserve">City of Regina RFI 25-00072: §4 Optional features – Permit Management [RFI – 'Optional software features'] ×2</t>
  </si>
  <si>
    <t xml:space="preserve">CTY-024</t>
  </si>
  <si>
    <t xml:space="preserve">Consistent permit process across permit sources</t>
  </si>
  <si>
    <t xml:space="preserve">One business process for all ROW permits and their files (capital work, internal maintenance, external applications, three-way agreements); Calgary lists 37 existing permit types across three tools to be consolidated.</t>
  </si>
  <si>
    <t xml:space="preserve">City of Calgary RFI 25-006: §2.4 Functional capabilities [RFI – expected capability (no priority given)] ×2
City of Regina RFI 25-00072: §4 Required features – Permit Management [RFI – 'Required software features'] ×2</t>
  </si>
  <si>
    <t xml:space="preserve">Calgary's unified-interface statement is in section 2.2; the 37-permit list is in Appendix B.</t>
  </si>
  <si>
    <t xml:space="preserve">CTY-025</t>
  </si>
  <si>
    <t xml:space="preserve">Inspections &amp; Compliance</t>
  </si>
  <si>
    <t xml:space="preserve">Permit inspection scheduling, results and photos</t>
  </si>
  <si>
    <t xml:space="preserve">Schedule and conduct inspections of work zones/traffic accommodations; record date, time, inspector, outcome, photos and files; NM asks for field inspectors to update records on mobile devices.</t>
  </si>
  <si>
    <t xml:space="preserve">NMDOT RFP 06-0100: App. A §3.2.3 [SOW scope item / RFP purpose]
City of Detroit RFP 185263: §2 Statement of Work [RFP – stated expectation (no priority given)]
City of Calgary RFI 25-006: §2.4 Functional capabilities [RFI – expected capability (no priority given)]
City of Regina RFI 25-00072: §4 Required features – Permit Management [RFI – 'Required software features']</t>
  </si>
  <si>
    <t xml:space="preserve">CTY-026</t>
  </si>
  <si>
    <t xml:space="preserve">Inspection deficiency tracking, notification and escalation</t>
  </si>
  <si>
    <t xml:space="preserve">Create a deficiency record from a failed inspection (pre-filled), notify the applicant, log communications, set a fix deadline with automatic re-check, escalate overdue items; NM asks for automated notifications for upcoming, missed or failed inspections.</t>
  </si>
  <si>
    <t xml:space="preserve">NMDOT RFP 06-0100: App. A §3.2.3 [SOW scope item / RFP purpose]
City of Regina RFI 25-00072: §4 Required features – Permit Management [RFI – 'Required software features'] ×5</t>
  </si>
  <si>
    <t xml:space="preserve">CTY-027</t>
  </si>
  <si>
    <t xml:space="preserve">Compliance monitoring, violations and enforcement</t>
  </si>
  <si>
    <t xml:space="preserve">Monitor and enforce regulatory compliance, record violations and drive enforcement through workflows; escalation mechanisms.</t>
  </si>
  <si>
    <t xml:space="preserve">NMDOT RFP 06-0100: App. A §3.2.3 [SOW scope item / RFP purpose]
City of Calgary RFI 25-006: §2.4 Functional capabilities [RFI – expected capability (no priority given)] ×2</t>
  </si>
  <si>
    <t xml:space="preserve">CTY-028</t>
  </si>
  <si>
    <t xml:space="preserve">Insurance and indemnification verification</t>
  </si>
  <si>
    <t xml:space="preserve">Workflow to authenticate with the City's indemnification/insurance solution, notify and validate insurance.</t>
  </si>
  <si>
    <t xml:space="preserve">City of Calgary RFI 25-006: §2.4 Functional capabilities [RFI – expected capability (no priority given)]</t>
  </si>
  <si>
    <t xml:space="preserve">CTY-029</t>
  </si>
  <si>
    <t xml:space="preserve">Fees, Payments &amp; Billing</t>
  </si>
  <si>
    <t xml:space="preserve">Billing</t>
  </si>
  <si>
    <t xml:space="preserve">Permit fees, invoicing, payments and billing integration</t>
  </si>
  <si>
    <t xml:space="preserve">Show cost, produce invoice, track what is paid or due, ideally receive payment before issuing the permit, warn staff of unpaid permits after X days, accept card payments (optional), block new requests until outstanding amounts are paid (optional), and interface with the corporate eCommerce/financial platform.</t>
  </si>
  <si>
    <t xml:space="preserve">City of Calgary RFI 25-006: §2.4 Functional capabilities [RFI – expected capability (no priority given)] ×2
City of Regina RFI 25-00072: §4 Required features – Financials [RFI – 'Required software features'] ×3; §4 Optional features – Financials [RFI – 'Optional software features'] ×2; §4 Required features – General [RFI – 'Required software features'] ×2</t>
  </si>
  <si>
    <t xml:space="preserve">Calgary: corporate eCommerce platform</t>
  </si>
  <si>
    <t xml:space="preserve">CTY-030</t>
  </si>
  <si>
    <t xml:space="preserve">Fee disclaimers, cancellation fees and staff-performed work billing</t>
  </si>
  <si>
    <t xml:space="preserve">Disclaimers about cancellation fees and additional accommodation-setup costs, with estimated cost where possible; summarize costs of city-performed work and create an invoice when direct billing is not possible.</t>
  </si>
  <si>
    <t xml:space="preserve">City of Regina RFI 25-00072: §4 Optional features – Financials [RFI – 'Optional software features'] ×3; §4 Optional features – General [RFI – 'Optional software features'] ×2</t>
  </si>
  <si>
    <t xml:space="preserve">CTY-031</t>
  </si>
  <si>
    <t xml:space="preserve">Scheduling &amp; Resources</t>
  </si>
  <si>
    <t xml:space="preserve">Scheduling</t>
  </si>
  <si>
    <t xml:space="preserve">Work scheduling and field-crew assignment</t>
  </si>
  <si>
    <t xml:space="preserve">Schedule tasks in 15-minute increments; share the affected area with and assign work to field workers via ArcGIS Workforce; work orders to assign resources and monitor work.</t>
  </si>
  <si>
    <t xml:space="preserve">City of Calgary RFI 25-006: §2.4 Functional capabilities [RFI – expected capability (no priority given)]
City of Regina RFI 25-00072: §4 Optional features – Permit Management [RFI – 'Optional software features'] ×3</t>
  </si>
  <si>
    <t xml:space="preserve">ArcGIS Workforce; existing work order systems</t>
  </si>
  <si>
    <t xml:space="preserve">CTY-032</t>
  </si>
  <si>
    <t xml:space="preserve">Assets</t>
  </si>
  <si>
    <t xml:space="preserve">Material and street-asset inventory with low-stock alerts</t>
  </si>
  <si>
    <t xml:space="preserve">Inventory of signs, barricades etc. with quantities and low-quantity notification; track asset numbers for banner/flag poles and flag overlapping use; manage parking meters so they are not double-booked; check accommodation areas against bus routes.</t>
  </si>
  <si>
    <t xml:space="preserve">City of Regina RFI 25-00072: §4 Optional features – Permit Management [RFI – 'Optional software features'] ×4</t>
  </si>
  <si>
    <t xml:space="preserve">CTY-033</t>
  </si>
  <si>
    <t xml:space="preserve">Integration with permit-conflict and GIS work tools (C3DR, ArcGIS Workforce)</t>
  </si>
  <si>
    <t xml:space="preserve">Integrate with the City's capital-work conflict tool (C3DR) so approved/planned work can auto-check permit requests for conflicts; use points/lines/polygons for work-task areas.</t>
  </si>
  <si>
    <t xml:space="preserve">C3DR; ArcGIS Workforce</t>
  </si>
  <si>
    <t xml:space="preserve">CTY-034</t>
  </si>
  <si>
    <t xml:space="preserve">Public Access &amp; Notifications</t>
  </si>
  <si>
    <t xml:space="preserve">Public</t>
  </si>
  <si>
    <t xml:space="preserve">Public view of closures/restrictions and public lookup</t>
  </si>
  <si>
    <t xml:space="preserve">Map interface of all traffic restrictions and closures; publish road restrictions to a public road report; public web app to look up policies and request closure permits; public view of ROW permits and status (Osceola).</t>
  </si>
  <si>
    <t xml:space="preserve">Osceola County BRD §6.1.7 (real estate/ROW): BRD §6.1.7/§7.1 – Req 1.12 [Should Have]
City of Regina RFI 25-00072: §4 Required features – Permit Management [RFI – 'Required software features']; §4 Optional features – Permit Management [RFI – 'Optional software features']
Smart ROW Features Matrix (DM1343 App. D): Features List – row 17 [Must Have]</t>
  </si>
  <si>
    <t xml:space="preserve">Regina: Road Report; C3DR</t>
  </si>
  <si>
    <t xml:space="preserve">CTY-035</t>
  </si>
  <si>
    <t xml:space="preserve">Notifications</t>
  </si>
  <si>
    <t xml:space="preserve">Applicant and utility notifications on application status</t>
  </si>
  <si>
    <t xml:space="preserve">Automated alerts and updates sent to applicants and utility providers on application status; alerts customizable by priority, relevance and permit conditions.</t>
  </si>
  <si>
    <t xml:space="preserve">City of Calgary RFI 25-006: §2.4 Functional capabilities [RFI – expected capability (no priority given)] ×2</t>
  </si>
  <si>
    <t xml:space="preserve">CTY-036</t>
  </si>
  <si>
    <t xml:space="preserve">Permit Reporting</t>
  </si>
  <si>
    <t xml:space="preserve">Permit KPI, payment and incident reporting</t>
  </si>
  <si>
    <t xml:space="preserve">Reports: inspections checked/passed/failed, permits requested vs approved (pre-approved, overrides, manual, rejection reasons), incomplete requests, planned work in a date range, permits and payment status, full incident detail, staff view of all requests.</t>
  </si>
  <si>
    <t xml:space="preserve">City of Regina RFI 25-00072: §4 Required features – Reporting [RFI – 'Required software features'] ×7</t>
  </si>
  <si>
    <t xml:space="preserve">CTY-037</t>
  </si>
  <si>
    <t xml:space="preserve">Area-based and condition-triggered reporting</t>
  </si>
  <si>
    <t xml:space="preserve">Use GIS web services to update reporting areas (e.g., ward boundaries), report permit KPIs by area, and run scheduled condition checks (events in an area/time) that notify interested parties.</t>
  </si>
  <si>
    <t xml:space="preserve">City of Regina RFI 25-00072: §4 Optional features – Reporting [RFI – 'Optional software features'] ×3</t>
  </si>
  <si>
    <t xml:space="preserve">CTY-038</t>
  </si>
  <si>
    <t xml:space="preserve">ROW Data Ingest &amp; Model</t>
  </si>
  <si>
    <t xml:space="preserve">Ingest</t>
  </si>
  <si>
    <t xml:space="preserve">Ingest ROW features and regulations from GIS/open formats</t>
  </si>
  <si>
    <t xml:space="preserve">Import ROW features, policies and regulations from shapefile, JSON, GeoJSON, CSV and other formats.</t>
  </si>
  <si>
    <t xml:space="preserve">Smart ROW Features Matrix (DM1343 App. D): Features List – row 3 [Must Have]</t>
  </si>
  <si>
    <t xml:space="preserve">CTY-039</t>
  </si>
  <si>
    <t xml:space="preserve">Model</t>
  </si>
  <si>
    <t xml:space="preserve">Configurable ROW feature taxonomy / data topology</t>
  </si>
  <si>
    <t xml:space="preserve">Allocate features to a user-defined data topology. The 'ROW Features' tab lists 49 feature types in 16 groups (Lanes, Junctions, Curbs, Surface Markings, Lighting, Tunnels &amp; Bridges, Infrastructure, Safety, Traffic Signs, Signals, Enforcement, Curb Objects, Temporary, Mobility, Peripheral, Parking).</t>
  </si>
  <si>
    <t xml:space="preserve">Smart ROW Features Matrix (DM1343 App. D): Features List – row 5 [Must Have]; ROW Features – row 3 [no priority (features to be mapped)]; ROW Features – row 9 [no priority (features to be mapped)]; ROW Features – row 12 [no priority (features to be mapped)]; +10 more (see Traceability)</t>
  </si>
  <si>
    <t xml:space="preserve">Only representative rows of the 49 are cited; the full list is in the source tab. 'Indego Stations' and 'PPA' appear in the source without explanation.</t>
  </si>
  <si>
    <t xml:space="preserve">CTY-040</t>
  </si>
  <si>
    <t xml:space="preserve">Digitize features with attributes, real-time feeds and automated updates</t>
  </si>
  <si>
    <t xml:space="preserve">Digitize ROW features and assign status/availability from user parameters and real-time feeds; update features and regulations automatically from other systems.</t>
  </si>
  <si>
    <t xml:space="preserve">Smart ROW Features Matrix (DM1343 App. D): Features List – row 6 [Must Have]; Features List – row 7 [Must Have]</t>
  </si>
  <si>
    <t xml:space="preserve">CTY-041</t>
  </si>
  <si>
    <t xml:space="preserve">Per-lane, per-foot resolution and temporal policies</t>
  </si>
  <si>
    <t xml:space="preserve">Capture ROW data and ingest temporal policies/permits/regulations at per-lane (sidewalk, parking, travel), per-foot resolution.</t>
  </si>
  <si>
    <t xml:space="preserve">Smart ROW Features Matrix (DM1343 App. D): Features List – row 8 [Must Have]; Features List – row 9 [Must Have]</t>
  </si>
  <si>
    <t xml:space="preserve">CTY-042</t>
  </si>
  <si>
    <t xml:space="preserve">Automated conflict detection among features and regulations</t>
  </si>
  <si>
    <t xml:space="preserve">Detect conflicts among ingested ROW features and regulations/policies automatically.</t>
  </si>
  <si>
    <t xml:space="preserve">Smart ROW Features Matrix (DM1343 App. D): Features List – row 11 [Must Have]</t>
  </si>
  <si>
    <t xml:space="preserve">CTY-043</t>
  </si>
  <si>
    <t xml:space="preserve">ROW Data Publishing</t>
  </si>
  <si>
    <t xml:space="preserve">Publishing</t>
  </si>
  <si>
    <t xml:space="preserve">Public APIs and open-data export (incl. Curb Data Specification)</t>
  </si>
  <si>
    <t xml:space="preserve">Convert and publish ROW data in open formats and via public real-time APIs using the Curb Data Specification (CDS); APIs for digital signage; fleet managers register curb events through APIs.</t>
  </si>
  <si>
    <t xml:space="preserve">Smart ROW Features Matrix (DM1343 App. D): Features List – row 4 [Must Have]; Features List – row 12 [Must Have]; Features List – row 13 [Must Have]; Features List – row 21 [Must Have]</t>
  </si>
  <si>
    <t xml:space="preserve">Curb Data Specification (CDS)</t>
  </si>
  <si>
    <t xml:space="preserve">CTY-044</t>
  </si>
  <si>
    <t xml:space="preserve">Dynamic pricing and payment-management integration</t>
  </si>
  <si>
    <t xml:space="preserve">Integrate with payment management solutions and implement dynamic pricing policies digitally.</t>
  </si>
  <si>
    <t xml:space="preserve">Smart ROW Features Matrix (DM1343 App. D): Features List – row 14 [Must Have]</t>
  </si>
  <si>
    <t xml:space="preserve">CTY-045</t>
  </si>
  <si>
    <t xml:space="preserve">Web viewer/editor for ROW features across devices</t>
  </si>
  <si>
    <t xml:space="preserve">Visualize ROW features/regulations and update them in a web application that works on desktop, phone and tablet.</t>
  </si>
  <si>
    <t xml:space="preserve">Smart ROW Features Matrix (DM1343 App. D): Features List – row 10 [Must Have]</t>
  </si>
  <si>
    <t xml:space="preserve">CTY-046</t>
  </si>
  <si>
    <t xml:space="preserve">Self-serve video training published in the solution</t>
  </si>
  <si>
    <t xml:space="preserve">Publish video-based training on how to use the solution.</t>
  </si>
  <si>
    <t xml:space="preserve">City of Regina RFI 25-00072: §4 Optional features – General [RFI – 'Optional software features']</t>
  </si>
  <si>
    <t xml:space="preserve">Sheet</t>
  </si>
  <si>
    <t xml:space="preserve">Source code</t>
  </si>
  <si>
    <t xml:space="preserve">Source document</t>
  </si>
  <si>
    <t xml:space="preserve">Location in source</t>
  </si>
  <si>
    <t xml:space="preserve">Source's own priority label</t>
  </si>
  <si>
    <t xml:space="preserve">Code</t>
  </si>
  <si>
    <t xml:space="preserve">Counted in priority?</t>
  </si>
  <si>
    <t xml:space="preserve">Source text (extract)</t>
  </si>
  <si>
    <t xml:space="preserve">Extract type</t>
  </si>
  <si>
    <t xml:space="preserve">ROW Features</t>
  </si>
  <si>
    <t xml:space="preserve">Idaho ITD RFP Event 85 – ROWMS</t>
  </si>
  <si>
    <t xml:space="preserve">§9 Scope of Work</t>
  </si>
  <si>
    <t xml:space="preserve">'must' requirement (§9)</t>
  </si>
  <si>
    <t xml:space="preserve">Yes</t>
  </si>
  <si>
    <t xml:space="preserve">- Unique Project Identification - assign project numbers, maintain project-related descriptive project, parcel and other property information;</t>
  </si>
  <si>
    <t xml:space="preserve">Verbatim extract</t>
  </si>
  <si>
    <t xml:space="preserve">WSDOT RFI (2023)</t>
  </si>
  <si>
    <t xml:space="preserve">Perf. Requirements – Baseline System Capabilities</t>
  </si>
  <si>
    <t xml:space="preserve">RFI – performance requirement list (no priority given)</t>
  </si>
  <si>
    <t xml:space="preserve">• The system shall allow for the tracking of individual projects located in the six WSDOT Regions based on project identifications.</t>
  </si>
  <si>
    <t xml:space="preserve">- Work Break Down Structure (WBS) - configurable, multi-level (Example: project, phase, task, activity, sub-activity, line item, category, parcel, sub-parcel, county, city, etc.);</t>
  </si>
  <si>
    <t xml:space="preserve">NH DOT ROWMS &amp; Rail Requirements</t>
  </si>
  <si>
    <t xml:space="preserve">Tab 7 Administrative – row 19</t>
  </si>
  <si>
    <t xml:space="preserve">Required / High</t>
  </si>
  <si>
    <t xml:space="preserve">Filtering and tagging (e.g., by region, project, status)</t>
  </si>
  <si>
    <t xml:space="preserve">Tab 6 Property Mgmt – row 20</t>
  </si>
  <si>
    <t xml:space="preserve">The system will generate reports showing inventory of active and surplus properties by region, district, project or various user-created parameters (size, value) - GIS search.</t>
  </si>
  <si>
    <t xml:space="preserve">§9 Management Reporting - General</t>
  </si>
  <si>
    <t xml:space="preserve">- Provide the ability to filter by District.</t>
  </si>
  <si>
    <t xml:space="preserve">Tab 2 ROW Agent – row 4</t>
  </si>
  <si>
    <t xml:space="preserve">The system shall manage acquisition cases at the parcel level and track progress through acquistion milestones - initial offers, notices of offers and track dates and timelines for acquistions per statutory time lines. Needs to duplicate/cascade same data for all relocation needs.</t>
  </si>
  <si>
    <t xml:space="preserve">Tab 6 Property Mgmt – row 3</t>
  </si>
  <si>
    <t xml:space="preserve">The system shall manage and track individual parcels, including ownership, encumbrances and acquisition details.</t>
  </si>
  <si>
    <t xml:space="preserve">§9 Project Information Requirements</t>
  </si>
  <si>
    <t xml:space="preserve">- The ROWMS must have functionality to store/display other parcel information including type of property (residential, commercial, agriculture, etc.) and description of items on property (cemetery burial site, drain fields, septic systems, wells, landscape features, etc.) and parcel information (assessor parcel number, title commitment number, title commitment expiration date, etc.).</t>
  </si>
  <si>
    <t xml:space="preserve">Perf. Requirements – Property Acquisition &amp; Relocation Services</t>
  </si>
  <si>
    <t xml:space="preserve">• Processes to document and manage the acquisition of property, including current and past ownership, property type, use, location.</t>
  </si>
  <si>
    <t xml:space="preserve">Austin Transit Partnership RFQ (2025)</t>
  </si>
  <si>
    <t xml:space="preserve">Scope – IV. Data Requirements</t>
  </si>
  <si>
    <t xml:space="preserve">RFQ – requirement listed in scope</t>
  </si>
  <si>
    <t xml:space="preserve">• Parcel Information: Parcel number, legal description, address, land area, tenant, appraisal district information.</t>
  </si>
  <si>
    <t xml:space="preserve">Tab 2 ROW Agent – row 6</t>
  </si>
  <si>
    <t xml:space="preserve">The system will support parcels being grouped under projects or corridors, and rolled up for reporting. Link to log for documentation.</t>
  </si>
  <si>
    <t xml:space="preserve">Tab 6 Property Mgmt – row 7</t>
  </si>
  <si>
    <t xml:space="preserve">Desired / Medium</t>
  </si>
  <si>
    <t xml:space="preserve">The system shall have the ability to automatically transfer all parcels (remnants post construction) acquired and the ability to catagorize each remnant parcel by classification (surplus).</t>
  </si>
  <si>
    <t xml:space="preserve">§9 Appraisal Requirements</t>
  </si>
  <si>
    <t xml:space="preserve">- The ROWMS must have functionality for flagging a parcel or part of a parcel as a potential uneconomic remnant or remainder, applying a parcel number and parcel ID number to the remainder if requested/selected.</t>
  </si>
  <si>
    <t xml:space="preserve">Tab 6 Property Mgmt – row 6</t>
  </si>
  <si>
    <t xml:space="preserve">The system will support batch updates for multi-parcel projects or corridor-wide additions.</t>
  </si>
  <si>
    <t xml:space="preserve">Tab 7 Administrative – row 29</t>
  </si>
  <si>
    <t xml:space="preserve">Support for batch data entry or updates</t>
  </si>
  <si>
    <t xml:space="preserve">§9 Negotiation and Acquisition Requirements</t>
  </si>
  <si>
    <t xml:space="preserve">- The ROWMS must allow Users the ability to display or print a parcel synopsis, which provides summary information about each parcel including location, owners, contact information, leases, tenants, title information, etc.</t>
  </si>
  <si>
    <t xml:space="preserve">Tab 2 ROW Agent – row 13</t>
  </si>
  <si>
    <t xml:space="preserve">The system will track and report on milestones such as title verification, offer delivery, negotiations, acceptance, and closing. If there is no NEPA approval date then NO Acquisition can take place.  Appraising is ok to begin - but no acquisition work.</t>
  </si>
  <si>
    <t xml:space="preserve">Scope – A. Data Management</t>
  </si>
  <si>
    <t xml:space="preserve">• Data Entry &amp; Editing: Ability to add, modify, and delete ROW records, including parcel numbers, ownership information, acquisition types, dates of all acquisition milestones typically tracked, relocation types, milestones and dates, cost estimating, actual costs (property, closing, condemnation, etc.), agents contact log, rights of entry.</t>
  </si>
  <si>
    <t xml:space="preserve">- The ROWMS must have functionality to allow Users to enter and track cost estimates for the budgeting purposes of a project and/or parcel including all types of costs, such as: land (agriculture, grazing, timber, residential, commercial, etc.), site improvements based on types of land, relocation costs, indirect costs (appraisal, negotiations, closings, title insurance, etc.).</t>
  </si>
  <si>
    <t xml:space="preserve">- Provide the ability to modify an existing cost estimate and save the original version</t>
  </si>
  <si>
    <t xml:space="preserve">NMDOT RFP 06-0100</t>
  </si>
  <si>
    <t xml:space="preserve">App. A §1 Introduction</t>
  </si>
  <si>
    <t xml:space="preserve">SOW scope item / RFP purpose</t>
  </si>
  <si>
    <t xml:space="preserve">• Budget and audits: Supports fiscal planning and management activities of the Road Betterments Program, including preparing annual budgets for ROW acquisitions, Utility costs, and adjustments.</t>
  </si>
  <si>
    <t xml:space="preserve">Tab 2 ROW Agent – row 5</t>
  </si>
  <si>
    <t xml:space="preserve">The system will support multiple ownership interests per parcel (e.g., fee, easement, tenant).</t>
  </si>
  <si>
    <t xml:space="preserve">- The ROWMS must have functionality to store/display parcel ownership information including all contact information, company names, trust names, owner names, spouses of owners, other contacts, mailing addresses, site addresses, daytime, cell phone and evening phone numbers, email addresses and legal name shown on vesting deed.</t>
  </si>
  <si>
    <t xml:space="preserve">- The ROWMS must have functionality to allow for the identification of multiple interests in a parcel, such as but not limited to: Parcel Owner, Parcel Owner Counsel, Tenant, Tenant Counsel, Business Tenant, Business Tenant Counsel, Business Owner, Life Estate, Lender, Loan Beneficiary, Owner Representative, Sign Owner, Registered Agent, Trustee.</t>
  </si>
  <si>
    <t xml:space="preserve">• Ownership Information: Owner name, contact information, ownership type.</t>
  </si>
  <si>
    <t xml:space="preserve">Tab 2 ROW Agent – row 40</t>
  </si>
  <si>
    <t xml:space="preserve">The system shall manage multiple contacts per parcel (e.g., owners, attorneys, banks, owner designee).</t>
  </si>
  <si>
    <t xml:space="preserve">- The ROWMS must have functionality to store/display parcel tenant information including name and contact information, insurance, evidence of a lease and lease details.</t>
  </si>
  <si>
    <t xml:space="preserve">Tab 4 Land Titles – row 10</t>
  </si>
  <si>
    <t xml:space="preserve">The ability to develop comprehensive abutters list including all parties of interest</t>
  </si>
  <si>
    <t xml:space="preserve">Tab 7 Administrative – row 2</t>
  </si>
  <si>
    <t xml:space="preserve">The system shall provide management of the entire hearing notification process, beginning with data dowload for parcels' interested parties from Land Titles.</t>
  </si>
  <si>
    <t xml:space="preserve">Tab 7 Administrative – row 6</t>
  </si>
  <si>
    <t xml:space="preserve">The system shall have the ability to securely aquire information needed for the IRS</t>
  </si>
  <si>
    <t xml:space="preserve">- The ROWMS must have functionality to allow Users to assign various members of a team for each parcel, such as but not limited to: appraisal coordinator, appraiser, appraisal reviewer, counsel (DAG), counsel (seller), counsel (tenant), Chief Engineer, District Engineer, Director, FHWA, ROW Program Manager, LHTAC, Negotiator (In-House), Negotiator (Consultant), Procedural Review, Project Lead, Proje …</t>
  </si>
  <si>
    <t xml:space="preserve">Tab 2 ROW Agent – row 19</t>
  </si>
  <si>
    <t xml:space="preserve">The system will AUTO document negotiation conversations (diary log), attempts at contact, and owner responses.</t>
  </si>
  <si>
    <t xml:space="preserve">Tab 2 ROW Agent – row 41</t>
  </si>
  <si>
    <t xml:space="preserve">The system will provide a communication log for calls, meetings, mailings, and emails?</t>
  </si>
  <si>
    <t xml:space="preserve">Tab 9 Reports – row 20</t>
  </si>
  <si>
    <t xml:space="preserve">Compile and print a summary of diary entries in a report for the entire parcel and various commentors.</t>
  </si>
  <si>
    <t xml:space="preserve">- The ROWMS must allow Users to document negotiation activities log (Diary). (This includes the ability for a negotiator to enter all negotiation information in the system, including times of contact with owner, offers/promises made, acceptance/rejection or counter offer by owner, location of the conversation; i.e., in-person, mail, phone, etc.).</t>
  </si>
  <si>
    <t xml:space="preserve">• Utility Agreements: Determines compensable versus non-compensable costs. Capture costs and submits to NMDOT’s STIP Bureau and/or Project Oversight Division (POD). The solution must facilitate and log interactions with internal and external stakeholders, such as title companies, appraisers, property owners, utility companies, contractors, and other federal and local government agencies.</t>
  </si>
  <si>
    <t xml:space="preserve">Tab 9 Reports – row 9</t>
  </si>
  <si>
    <t xml:space="preserve">The system shall provide-the ability to create notes and delete notes based on permissions</t>
  </si>
  <si>
    <t xml:space="preserve">- The ROWMS must allow Users to document the sex and ethnicity of the owner for statistical reporting purposes (minority, non-minority and/or female).</t>
  </si>
  <si>
    <t xml:space="preserve">§9 Relocation Requirements</t>
  </si>
  <si>
    <t xml:space="preserve">- The ROWMS must allow Users to store demographics on displacees (minority, non-minority, and sex) for use in statistical reporting.</t>
  </si>
  <si>
    <t xml:space="preserve">Tab 4 Land Titles – row 3</t>
  </si>
  <si>
    <t xml:space="preserve">The system will manage chain of title and historical ownership records.</t>
  </si>
  <si>
    <t xml:space="preserve">• Lands abstraction: Determines landownership and identifies any existing encumbrances on properties targeted for acquisition.</t>
  </si>
  <si>
    <t xml:space="preserve">• Ability to support the recording of title information and title report specifics on acquisitions.</t>
  </si>
  <si>
    <t xml:space="preserve">• Title and Closing Information: Liens, mortgages, other encumbrances affecting the ROW.</t>
  </si>
  <si>
    <t xml:space="preserve">Tab 4 Land Titles – row 4</t>
  </si>
  <si>
    <t xml:space="preserve">The system will track and flag/alert title defects, encumbrances easements or unresolved issues.</t>
  </si>
  <si>
    <t xml:space="preserve">Tab 4 Land Titles – row 5</t>
  </si>
  <si>
    <t xml:space="preserve">Search: The system will support storing and linking scanned deeds plats surveys, and title reports to special parcels or tracts. Search by GIS as well.</t>
  </si>
  <si>
    <t xml:space="preserve">Tab 4 Land Titles – row 12</t>
  </si>
  <si>
    <t xml:space="preserve">The system will enable users to search land title documents by owner name, map/lot number, deed reference, or parcel ID - GIS search.</t>
  </si>
  <si>
    <t xml:space="preserve">Tab 8 Rail &amp; Transit – row 19</t>
  </si>
  <si>
    <t xml:space="preserve">Tab 8 Rail &amp; Transit – row 20</t>
  </si>
  <si>
    <t xml:space="preserve">Tab 4 Land Titles – row 18</t>
  </si>
  <si>
    <t xml:space="preserve">The system flags titles needed to be updated during a project Lifecyle (e.g., from preliminary to final). Accepts update requests.</t>
  </si>
  <si>
    <t xml:space="preserve">Tab 4 Land Titles – row 20</t>
  </si>
  <si>
    <t xml:space="preserve">The system will provide document version tracking, especially for modified or updated title research.</t>
  </si>
  <si>
    <t xml:space="preserve">Tab 4 Land Titles – row 21</t>
  </si>
  <si>
    <t xml:space="preserve">The system will provide control access to sensitive title info by role (e.g., only legal can see confidential opinions).</t>
  </si>
  <si>
    <t xml:space="preserve">Tab 4 Land Titles – row 9</t>
  </si>
  <si>
    <t xml:space="preserve">The system shall identify/group by land type, private, condo, conservation, recreation, Lchip et al.</t>
  </si>
  <si>
    <t xml:space="preserve">Tab 4 Land Titles – row 6</t>
  </si>
  <si>
    <t xml:space="preserve">The system shall capture ROW plan requests, project progress, reporting dates, progress indicators.</t>
  </si>
  <si>
    <t xml:space="preserve">Tab 4 Land Titles – row 8</t>
  </si>
  <si>
    <t xml:space="preserve">Planning: The system shall help with estimating workload and delivery dates.</t>
  </si>
  <si>
    <t xml:space="preserve">Tab 9 Reports – row 5</t>
  </si>
  <si>
    <t xml:space="preserve">The system shall have the ability track and report on levels of ROW Plan Requests completed for each project</t>
  </si>
  <si>
    <t xml:space="preserve">Tab 9 Reports – row 6</t>
  </si>
  <si>
    <t xml:space="preserve">The system shall have the ability track and report on abstract and title reports completed for each project</t>
  </si>
  <si>
    <t xml:space="preserve">Tab 4 Land Titles – row 7</t>
  </si>
  <si>
    <t xml:space="preserve">The system shall manage contracts with external vendors, for fee title examiners. External contractors will access/upload via externally facing portal.</t>
  </si>
  <si>
    <t xml:space="preserve">Tab 1 General – row 3</t>
  </si>
  <si>
    <t xml:space="preserve">The system shall provide an external vendor portal for deliverables, and accessing assignment information.</t>
  </si>
  <si>
    <t xml:space="preserve">Tab 4 Land Titles – row 27</t>
  </si>
  <si>
    <t xml:space="preserve">n/a / n/a</t>
  </si>
  <si>
    <t xml:space="preserve">Reports templates with interactive input/lookup capabilities. e.g., Title front sheet.</t>
  </si>
  <si>
    <t xml:space="preserve">Tab 4 Land Titles – row 23</t>
  </si>
  <si>
    <t xml:space="preserve">The system will generate custom reports showing title status, unresolved issues. Number of Titles across projects.</t>
  </si>
  <si>
    <t xml:space="preserve">Tab 7 Administrative – row 3</t>
  </si>
  <si>
    <t xml:space="preserve">The system shall have the ability to create hearing notices, with templates and mail merge capabilities.</t>
  </si>
  <si>
    <t xml:space="preserve">Tab 7 Administrative – row 4</t>
  </si>
  <si>
    <t xml:space="preserve">The system shall have the ability to keep copy an electronic copy of hearing notices sorted by parcel and with USPS delievery and receipt</t>
  </si>
  <si>
    <t xml:space="preserve">Tab 3 Survey – row 3</t>
  </si>
  <si>
    <t xml:space="preserve">Required / Med</t>
  </si>
  <si>
    <t xml:space="preserve">The system shall securely store/access and manage raw survey data (field notes, GPS coordinates, total station data).</t>
  </si>
  <si>
    <t xml:space="preserve">Tab 3 Survey – row 4</t>
  </si>
  <si>
    <t xml:space="preserve">The system shall support uploading and managing, executing CAD files (e.g., DWG, DGN),. Including layers for control points, boundary lines, easements and monuments.</t>
  </si>
  <si>
    <t xml:space="preserve">Tab 3 Survey – row 5</t>
  </si>
  <si>
    <t xml:space="preserve">The system shall track survey requests including submittal and completion dates.</t>
  </si>
  <si>
    <t xml:space="preserve">Tab 3 Survey – row 10</t>
  </si>
  <si>
    <t xml:space="preserve">Desired/Optional / Med</t>
  </si>
  <si>
    <t xml:space="preserve">The system will capture metadata like surveyor name, date, location information, project (etc.).</t>
  </si>
  <si>
    <t xml:space="preserve">Tab 3 Survey – row 11</t>
  </si>
  <si>
    <t xml:space="preserve">The system will support managing records of monumentation - including as-built plans and field books.</t>
  </si>
  <si>
    <t xml:space="preserve">Tab 3 Survey – row 15</t>
  </si>
  <si>
    <t xml:space="preserve">The system will import/export to survey software platforms like MicroStation, Trimble Business Center, or Carlson.</t>
  </si>
  <si>
    <t xml:space="preserve">Tab 3 Survey – row 16</t>
  </si>
  <si>
    <t xml:space="preserve">The system shall migrate and integrate the existing field book system.</t>
  </si>
  <si>
    <t xml:space="preserve">Tab 3 Survey – row 24</t>
  </si>
  <si>
    <t xml:space="preserve">The system will ensure access can be restricted so only Chief Surveyor or authorized designees can edit plans.</t>
  </si>
  <si>
    <t xml:space="preserve">Tab 3 Survey – row 19</t>
  </si>
  <si>
    <t xml:space="preserve">The system will provide means to audit who accessed, changed, or approved plans over time.</t>
  </si>
  <si>
    <t xml:space="preserve">Tab 3 Survey – row 20</t>
  </si>
  <si>
    <t xml:space="preserve">The system shall track, tag, and store public inquiry responses.</t>
  </si>
  <si>
    <t xml:space="preserve">Tab 3 Survey – row 21</t>
  </si>
  <si>
    <t xml:space="preserve">The system shall track project responsibility reporting.</t>
  </si>
  <si>
    <t xml:space="preserve">Tab 3 Survey – row 22</t>
  </si>
  <si>
    <t xml:space="preserve">Require / High</t>
  </si>
  <si>
    <t xml:space="preserve">The system shall manage and track State-wide contracts.</t>
  </si>
  <si>
    <t xml:space="preserve">Tab 3 Survey – row 18</t>
  </si>
  <si>
    <t xml:space="preserve">The system will generate reports showing ROW status, survey completeness, performance metrics (TBD).</t>
  </si>
  <si>
    <t xml:space="preserve">Tab 5 Appraisal – row 7</t>
  </si>
  <si>
    <t xml:space="preserve">The system shall provide a workflow to assign, track, and log internal or external appraisals and all impacts. Items such as project name and number, parcel number, address, owner contact information, owner appraisal inspection letters, inspections dates will be entered once and populate relevant fields throughout the system.</t>
  </si>
  <si>
    <t xml:space="preserve">- The ROWMS must have functionality to allow Users to assign the appraisal of a parcel to an appraiser and set up the ability upon assignment to enter a contract and payment structure for receipt of invoices.</t>
  </si>
  <si>
    <t xml:space="preserve">- The ROWMS must have functionality to allow Users to notify by email notification the assignment of the appraisal and review to the appraisers chosen.</t>
  </si>
  <si>
    <t xml:space="preserve">• Ability to maintain data for multiple property appraisals. When multiple appraisals are completed on an acquisition, data and reviews must be linked to the appropriate appraisal.</t>
  </si>
  <si>
    <t xml:space="preserve">Tab 5 Appraisal – row 5</t>
  </si>
  <si>
    <t xml:space="preserve">The system will track assignment information such as report type, property type, size, zoning and improvements, approaches to value, rights being acquired.</t>
  </si>
  <si>
    <t xml:space="preserve">- The ROWMS must have functionality to store, update, and retrieve appraisal information (this includes all information specific to an appraisal, including parcel information, type of appraisal (Property Compensation Estimate, Form 2288, Before &amp; After, etc.), appraisal report date, appraisal inspection date, appraisal fee, deadline, valuation, basis for valuation, review appraiser's report, approval of appraisal, establishment of just compensation, etc.).</t>
  </si>
  <si>
    <t xml:space="preserve">Tab 5 Appraisal – row 9</t>
  </si>
  <si>
    <t xml:space="preserve">The system shall provide a workflow to assign, track, and log internal or external appraisal reviews (including justification for acceptance or rejection).</t>
  </si>
  <si>
    <t xml:space="preserve">- The ROWMS must have functionality to allow Users to assign the review of the appraisal to a review appraiser and set up the ability upon assignment to enter a contract and payment structure for receipt of invoices.</t>
  </si>
  <si>
    <t xml:space="preserve">- The ROWMS must have functionality to document the review appraisal including the approval or disapproval of the appraisal, and the ability to apply comments.</t>
  </si>
  <si>
    <t xml:space="preserve">- The ROWMS must have functionality to allow Users to return the appraisal to the original appraiser electronically if required to address any issues identified by the review appraiser.</t>
  </si>
  <si>
    <t xml:space="preserve">• Ability to maintain data for property appraisal reviews.</t>
  </si>
  <si>
    <t xml:space="preserve">Tab 5 Appraisal – row 21</t>
  </si>
  <si>
    <t xml:space="preserve">The system shall retain historical valuations for future project cost estimation/comparison purposes.</t>
  </si>
  <si>
    <t xml:space="preserve">- The ROWMS must have functionality to store a history of multiple appraisals performed on a parcel, switching ‘approved’ to ‘archived’ with the last appraisal entered and a newly ‘approved’ status for the new appraisal entered.</t>
  </si>
  <si>
    <t xml:space="preserve">- The ROWMS must have functionality to allow Users to document any changes underlying second and subsequent appraisals (change to size of parcel, type of , etc.).</t>
  </si>
  <si>
    <t xml:space="preserve">Tab 2 ROW Agent – row 21</t>
  </si>
  <si>
    <t xml:space="preserve">The system will track just-compensation and agreed settlement. Reminders added to focus on G&amp;C agenda items and the deadlines associated with this process</t>
  </si>
  <si>
    <t xml:space="preserve">- The ROWMS must have functionality to allow online capability for authorized Users to electronically review and/or approve just compensation used for initial offer or revised offers.</t>
  </si>
  <si>
    <t xml:space="preserve">Tab 5 Appraisal – row 3</t>
  </si>
  <si>
    <t xml:space="preserve">The system shall securely store and manage draft and final appraisal reports, review appraisals, and supporting documents and waiver valuation documents (e.g., comps, plats, cost tables).</t>
  </si>
  <si>
    <t xml:space="preserve">Tab 5 Appraisal – row 4</t>
  </si>
  <si>
    <t xml:space="preserve">The system shall support version control and audit logs for appraisal documents.</t>
  </si>
  <si>
    <t xml:space="preserve">- The ROWMS must have functionality to document and store the appraisal, and any separate documents associated with the appraisal, including ability to apply comments, categorize the appraisal components, add appraised values to the system, indicate approval, archival, acceptance statuses, store appraisals and reviews and categorize each logged in document.</t>
  </si>
  <si>
    <t xml:space="preserve">Tab 5 Appraisal – row 6</t>
  </si>
  <si>
    <t xml:space="preserve">The system shall link appraisals directly to specific parcels and their proposed acquisitions in the ROW system.</t>
  </si>
  <si>
    <t xml:space="preserve">- The ROWMS must have functionality to support storing and display of appraisal submitted by a property owner (third party appraisal), indication of approval of whole or parts, discussion of parts approved, and submittal of approved values into the system.</t>
  </si>
  <si>
    <t xml:space="preserve">- The ROWMS must have functionality to generate an appraisal summary information sheet automatically based on all appraisal information entered in the system.</t>
  </si>
  <si>
    <t xml:space="preserve">- The ROWMS must be able to generate reports on the status of appraisals by project (for example appraisal pending, appraisal prepared, appraisal approved, appraisal waiting for resubmission, appraisal on hold, new appraisal pending, etc.).</t>
  </si>
  <si>
    <t xml:space="preserve">Tab 5 Appraisal – row 26</t>
  </si>
  <si>
    <t xml:space="preserve">The system will include appraisal report writing modules for each report type that will populate templates with project, parcel and owner information.</t>
  </si>
  <si>
    <t xml:space="preserve">Tab 5 Appraisal – row 10</t>
  </si>
  <si>
    <t xml:space="preserve">Optional / Medium</t>
  </si>
  <si>
    <t xml:space="preserve">The system shall flag missing required elements for appraisal reports (checklist to be developed for each report type).</t>
  </si>
  <si>
    <t xml:space="preserve">Tab 2 ROW Agent – row 32</t>
  </si>
  <si>
    <t xml:space="preserve">The system shall provide tracking for offers made by a waiver/nominal fee and when it needs to be elevated to appraisal</t>
  </si>
  <si>
    <t xml:space="preserve">Tab 2 ROW Agent – row 12</t>
  </si>
  <si>
    <t xml:space="preserve">The system will support customizable workflows for each acquisition type, aquisition, waiver, appraisal (fee, easement, temporary, donation).</t>
  </si>
  <si>
    <t xml:space="preserve">Tab 5 Appraisal – row 32</t>
  </si>
  <si>
    <t xml:space="preserve">Track, searchable by project, parcel, GIS.</t>
  </si>
  <si>
    <t xml:space="preserve">Perf. Requirements – Property Management</t>
  </si>
  <si>
    <t xml:space="preserve">• The system shall support the creation and review of ROW Property Management related value determinations (e.g., Appraisals, broker opinions of value, administrative compensation estimates, etc.) including market value appraisals, rent studies, and other specialty reports.</t>
  </si>
  <si>
    <t xml:space="preserve">Tab 5 Appraisal – row 11</t>
  </si>
  <si>
    <t xml:space="preserve">Required / Medium</t>
  </si>
  <si>
    <t xml:space="preserve">The system will provide administrator tools for automated scoring of contract appraisers for use in awarding future contracts.</t>
  </si>
  <si>
    <t xml:space="preserve">Tab 5 Appraisal – row 12</t>
  </si>
  <si>
    <t xml:space="preserve">The system will track the eligible contract appraiser selections, request for proposals, RFP responses, RFP regrets letters, notice to proceed letters, bid amounts and due dates for drafts, revisions and approved reports.</t>
  </si>
  <si>
    <t xml:space="preserve">Tab 5 Appraisal – row 14</t>
  </si>
  <si>
    <t xml:space="preserve">The system shall track contract appraisers, their assignments, qualifications, and performance.</t>
  </si>
  <si>
    <t xml:space="preserve">§9.14 Value Added Services</t>
  </si>
  <si>
    <t xml:space="preserve">| Appraisal Reports – Consulting Fees (including Appraisal Reviewer Reports) | • all available appraisers, status, contact information, updated licensing, ITD rating. • all contracts for a specified appraiser utilizing appraiser name, company, appraisal format, date of report, inspection date, fair market value opinion, damages, cost t …</t>
  </si>
  <si>
    <t xml:space="preserve">Tab 5 Appraisal – row 15</t>
  </si>
  <si>
    <t xml:space="preserve">The system will provide a scheduling feature to manage due dates, site visits, and submission timelines.</t>
  </si>
  <si>
    <t xml:space="preserve">Tab 5 Appraisal – row 16</t>
  </si>
  <si>
    <t xml:space="preserve">The system will enable external appraisers to securely upload documents and receive feedback within the platform. Better than an FTP.</t>
  </si>
  <si>
    <t xml:space="preserve">Tab 5 Appraisal – row 17</t>
  </si>
  <si>
    <t xml:space="preserve">The system will initiate and track the payment process for contract appraisers</t>
  </si>
  <si>
    <t xml:space="preserve">Tab 5 Appraisal – row 19</t>
  </si>
  <si>
    <t xml:space="preserve">The system shall support workflows aligned with Uniform Act (URA), USPAP, and state DOT appraisal standards.</t>
  </si>
  <si>
    <t xml:space="preserve">Tab 5 Appraisal – row 20</t>
  </si>
  <si>
    <t xml:space="preserve">The system will generate review &amp; approval documents required by Uniform Act &amp; ROW Manual.</t>
  </si>
  <si>
    <t xml:space="preserve">§9 General Requirements:</t>
  </si>
  <si>
    <t xml:space="preserve">- The ROWMS must have functionality to allow the Team to support the management and tracking of the ROW Acquisition process according to the ROW Manual and the Uniform Act.</t>
  </si>
  <si>
    <t xml:space="preserve">Tab 5 Appraisal – row 28</t>
  </si>
  <si>
    <t xml:space="preserve">The system shall enable comparable sales or leases to be visualized on a GIS map with transaction data overlaid- and captured for future use.</t>
  </si>
  <si>
    <t xml:space="preserve">Tab 5 Appraisal – row 30</t>
  </si>
  <si>
    <t xml:space="preserve">The system shall include a comparable sales database for all property types with multi-factor searchable fields that populates sales from fee apprasal reports into the database.</t>
  </si>
  <si>
    <t xml:space="preserve">Tab 9 Reports – row 16</t>
  </si>
  <si>
    <t xml:space="preserve">The system shall have the ability to do market analysis</t>
  </si>
  <si>
    <t xml:space="preserve">Tab 5 Appraisal – row 23</t>
  </si>
  <si>
    <t xml:space="preserve">The system will enable users to extract key appraisal data fields (e.g., land value, damages, parts taken, severance, improvements, costs to cure, total compensation) for reporting or mapping and can accomodate key word/fuzzy searches to assist with unique valuation problems.</t>
  </si>
  <si>
    <t xml:space="preserve">Tab 5 Appraisal – row 24</t>
  </si>
  <si>
    <t xml:space="preserve">Optional/Demo / Medium</t>
  </si>
  <si>
    <t xml:space="preserve">The system will summarize appraisal outcomes across multiple parcels or projects (e.g., average acquisition cost, total compensation by region).</t>
  </si>
  <si>
    <t xml:space="preserve">Tab 5 Appraisal – row 29</t>
  </si>
  <si>
    <t xml:space="preserve">The system shall link directly from the map view to the underlying appraisal report.</t>
  </si>
  <si>
    <t xml:space="preserve">Tab 2 ROW Agent – row 18</t>
  </si>
  <si>
    <t xml:space="preserve">The system will generate, store, and track offer letters, counteroffers, and signed agreements.</t>
  </si>
  <si>
    <t xml:space="preserve">Tab 2 ROW Agent – row 20</t>
  </si>
  <si>
    <t xml:space="preserve">The system shall provide the ability to create templates for offers and agreements w/9 etc. The templates must be in a format that can allow for modifications e.g. Word, Excel</t>
  </si>
  <si>
    <t xml:space="preserve">- The ROWMS must allow Users to document all counter offers (generally identified in the Diary).</t>
  </si>
  <si>
    <t xml:space="preserve">• Ability to record negotiated settlement details into individual fields (e.g. date, amount, action, note, etc.), including breakdown of payment and benefits provided to the property owner(s) including offers made and counter offers received.</t>
  </si>
  <si>
    <t xml:space="preserve">• Acquisition Information: Ownership, Notices, Appraisal, Survey, Environmental, Negotiation, Right of Entry, Offer, Final Offer, Counter, Settlement</t>
  </si>
  <si>
    <t xml:space="preserve">- The ROWMS must allow Users to assign a negotiator or consultant negotiator to each parcel of a project, including all contact information for such negotiator/consultant negotiator.</t>
  </si>
  <si>
    <t xml:space="preserve">- The ROWMS must allow Users to notify the Project Lead and negotiator/consultant negotiator within the system and via email of the parcel assignment.</t>
  </si>
  <si>
    <t xml:space="preserve">- The ROWMS must have functionality to allow Users to select a parcel based on appraisal approval as ready for negotiation and send an electronic notification by email and within the ROWMS to the assigned negotiator (including Consultant Negotiator) for a parcel.</t>
  </si>
  <si>
    <t xml:space="preserve">- The ROWMS must allow Users to document amount of administrative settlement, if any, in ROW Contract, and related areas.</t>
  </si>
  <si>
    <t xml:space="preserve">- Upon settlement, the ROWMS must allow Users to create a document summarizing settlement details (Acquisition Review Report).</t>
  </si>
  <si>
    <t xml:space="preserve">- The ROWMS must allow Users to identify and access various documents included in original offer (Advice of Rights, Property Acquisition brochure, Appraisal, Claim for Payment, ROW Contract, Deeds, Easements, Possession Agreement, Relocation Brochure, etc.) and date delivered and by what means it was delivered.</t>
  </si>
  <si>
    <t xml:space="preserve">- The ROWMS must allow Users to insert the date Property Owner Advice of Rights presented to owner.</t>
  </si>
  <si>
    <t xml:space="preserve">- The ROWMS must allow Users to generate an impasse letter to owner (final notice that negotiations must cease, request for an agreement for possession, and statement that condemnation must proceed after a deadline).</t>
  </si>
  <si>
    <t xml:space="preserve">- The ROWMS must allow Users to document (for condemnation and other purposes) the last offer to the property owner; amount asked by property owner; number of negotiation attempts with the property owner or their authorized representative; and reasons for recommending condemnation (Diary).</t>
  </si>
  <si>
    <t xml:space="preserve">- The ROWMS must allow Users to document owner’s request received for owner to retain improvements and appurtenances (using Salvage form to document value in Valuation section).</t>
  </si>
  <si>
    <t xml:space="preserve">- The ROWMS must show updated approved valuation for negotiation if owner retains structures (salvage valuation) as well as save the salvage form in the system.</t>
  </si>
  <si>
    <t xml:space="preserve">- The ROWMS must allow Users to generate negotiator's progress report for a specific month or other User-defined period. This report must document assigned parcels by project and parcel number.</t>
  </si>
  <si>
    <t xml:space="preserve">- The ROWMS must allow Users to document collection upon closing of keys, garage door openers, etc. of structures, the date collected, by whom and delivered to whom.</t>
  </si>
  <si>
    <t xml:space="preserve">- The ROWMS must have functionality to support various types of ROW Acquisitions/transactions including but not limited to: Acquisitions by fee, permanent easement, and/or temporary easement; relocation activities; leases, purchases, and surplus property conveyances.</t>
  </si>
  <si>
    <t xml:space="preserve">App. A §2 Project Objectives</t>
  </si>
  <si>
    <t xml:space="preserve">SOW project objective ('system should')</t>
  </si>
  <si>
    <t xml:space="preserve">• Standardize processes throughout the NMDOT.</t>
  </si>
  <si>
    <t xml:space="preserve">• The system shall support the ROW Acquisition process for Project Related Property Management activity including rentals, leases, and project related trades.</t>
  </si>
  <si>
    <t xml:space="preserve">- The ROWMS must allow the ability to set up specific steps that need to be completed in the Acquisition process. The steps must be put in specific order of completion and, upon request, have the ability to prevent further movement to the next step until the preceding step(s) is completed.</t>
  </si>
  <si>
    <t xml:space="preserve">Tab 2 ROW Agent – row 15</t>
  </si>
  <si>
    <t xml:space="preserve">The system will be able to auto-assign and track deadlines with alerts for delays, based on date-time window, and calculate time-frames/deadlines, can incorporate waivers that impact time-frames. Populate from Promise/trigger w/notice to proceed from external data.</t>
  </si>
  <si>
    <t xml:space="preserve">Tab 2 ROW Agent – row 8</t>
  </si>
  <si>
    <t xml:space="preserve">The system shall provide reminders to prompt next action based on the URA, per Property and those affected. May need more than one reminder and a report to search  various outstanding items. Plus the ability to modify the reminder date if necessary.</t>
  </si>
  <si>
    <t xml:space="preserve">Tab 2 ROW Agent – row 23</t>
  </si>
  <si>
    <t xml:space="preserve">The acquisition workflow will be aligned with the Uniform Relocation Assistance and Real Property Acquisition policies Act (URA). And shall be updated/current.</t>
  </si>
  <si>
    <t xml:space="preserve">• Ensure compliance with federal, state, and local regulations.</t>
  </si>
  <si>
    <t xml:space="preserve">• The system shall support processes related to the acquisition of property in compliance with the Uniform Relocation Assistance and Real Property Acquisition Act and applicable State laws.</t>
  </si>
  <si>
    <t xml:space="preserve">Scope of Services</t>
  </si>
  <si>
    <t xml:space="preserve">… Additionally, the System must be able to track and document all requirements and notices required under the Uniform Relocation Assistance and Real Property Acquisition Policies Act and the Texas Property Code. ATP is a new organization and is in the development phase for the Austin Light Rail Phase 1. Preliminary parcel acquisition and relocation needs have been identified, but the acquisition process has not started. Processes, procedures, and workflows have not yet been det …</t>
  </si>
  <si>
    <t xml:space="preserve">§9 Management Reporting – Project Management Reports</t>
  </si>
  <si>
    <t xml:space="preserve">- The ROWMS must have functionality to generate a list of projects and clearance status (Environmental clearance, Right of Way certification, Possession, Acquisition, etc.).</t>
  </si>
  <si>
    <t xml:space="preserve">§9 Management Reporting - Performance Measures</t>
  </si>
  <si>
    <t xml:space="preserve">- More than ninety eight percent (98%) (or User defined percentage) of Environmental Clearances obtained by scheduled target.</t>
  </si>
  <si>
    <t xml:space="preserve">Osceola County BRD §6.1.7 (real estate/ROW)</t>
  </si>
  <si>
    <t xml:space="preserve">BRD §6.1.7/§7.1 – Req 1184</t>
  </si>
  <si>
    <t xml:space="preserve">Must Have</t>
  </si>
  <si>
    <t xml:space="preserve">Ability to generate reports that include all right of entries. [table extract]</t>
  </si>
  <si>
    <t xml:space="preserve">Typed from BRD table (wrapped columns) – verify</t>
  </si>
  <si>
    <t xml:space="preserve">• The ability to track temporary easements indicating time limits, expiration dates, and notification requirements.</t>
  </si>
  <si>
    <t xml:space="preserve">• Easement Information: Easement type, purpose, location, grantor/grantee information, legal description, recorded document information.</t>
  </si>
  <si>
    <t xml:space="preserve">BRD §6.1.7/§7.1 – Req 1185</t>
  </si>
  <si>
    <t xml:space="preserve">Ability to generate reports that include all easements. [table extract]</t>
  </si>
  <si>
    <t xml:space="preserve">Tab 2 ROW Agent – row 24</t>
  </si>
  <si>
    <t xml:space="preserve">The system will maintain a clear audit trail and required documentation for federal review or reimbursement.</t>
  </si>
  <si>
    <t xml:space="preserve">Tab 1 General – row 39</t>
  </si>
  <si>
    <t xml:space="preserve">The solution shall have the ability for satisfy a FHWA audit</t>
  </si>
  <si>
    <t xml:space="preserve">BRD §6.1.7/§7.1 – Req 1175</t>
  </si>
  <si>
    <t xml:space="preserve">Ability to allow internal and external users to electronically request acquisition of properties. [table extract]</t>
  </si>
  <si>
    <t xml:space="preserve">BRD §6.1.7/§7.1 – Req 1176</t>
  </si>
  <si>
    <t xml:space="preserve">Ability to capture acquisition requests and desired property parameters with an approval workflow. [table extract]</t>
  </si>
  <si>
    <t xml:space="preserve">BRD §6.1.7/§7.1 – Req 1144</t>
  </si>
  <si>
    <t xml:space="preserve">Ability to capture agreement details (funding required; letter of intent (LOI), due diligence, title work dates, etc. and associated deadlines) and provide notification/alerts as established dollar limits and/or due dates are exceeded. [table extract]</t>
  </si>
  <si>
    <t xml:space="preserve">Tab 2 ROW Agent – row 16</t>
  </si>
  <si>
    <t xml:space="preserve">The system shall provide a way to transfer responsiblity from agent acquisition to PM care and tracking</t>
  </si>
  <si>
    <t xml:space="preserve">Tab 2 ROW Agent – row 34</t>
  </si>
  <si>
    <t xml:space="preserve">After relocation the system shall be able to show if we are leasing the area back to the owner/tenant and if we have an occupancy agreement and rent charges</t>
  </si>
  <si>
    <t xml:space="preserve">Tab 4 Land Titles – row 17</t>
  </si>
  <si>
    <t xml:space="preserve">The system will integrate with acquisition, appraisal and relocation modules.</t>
  </si>
  <si>
    <t xml:space="preserve">Tab 1 General – row 11</t>
  </si>
  <si>
    <t xml:space="preserve">The solution must operate as a single, integrated, synchronous whole with all data changes accessible in real time by any authorized user.</t>
  </si>
  <si>
    <t xml:space="preserve">App. A §3.2.1</t>
  </si>
  <si>
    <t xml:space="preserve">• Provide a centralized database for ROW and Utilities activities and records.</t>
  </si>
  <si>
    <t xml:space="preserve">- The ROWMS must allow Users to document the potential non-residential and residential relocation of owners, tenants and property.</t>
  </si>
  <si>
    <t xml:space="preserve">- The ROWMS must allow Users to confirm list of displacees associated with each parcel being acquired and update information about these individuals.</t>
  </si>
  <si>
    <t xml:space="preserve">• Ability to record specifics of the relocation services as per the Federal Regulations.</t>
  </si>
  <si>
    <t xml:space="preserve">• Relocation Information: Displacee information, Type, Claims, Notices</t>
  </si>
  <si>
    <t xml:space="preserve">- The ROWMS must pre-populate relocation work sheets and questionnaires with any information about displacees obtained during the Relocation process.</t>
  </si>
  <si>
    <t xml:space="preserve">- The ROWMS must allow Users to document a residential relocation questionnaire to capture information on all current occupants, the cost of current housing, and preferences for relocation location.</t>
  </si>
  <si>
    <t xml:space="preserve">- The ROWMS must allow Users to document a non-residential relocation questionnaire which includes the name of the business, the owner of the business, demographic information on the owner, the nature/type of business, current lease terms, plans for relocating or discontinuing operations, desired relocation location and other business specific attributes.</t>
  </si>
  <si>
    <t xml:space="preserve">Tab 2 ROW Agent – row 9</t>
  </si>
  <si>
    <t xml:space="preserve">System shall calculate mortgage, assistance rates, base on URA</t>
  </si>
  <si>
    <t xml:space="preserve">- The ROWMS must have functionality to calculate eligible relocation payments for residential and business displacees and store within the system.</t>
  </si>
  <si>
    <t xml:space="preserve">• System shall have the ability to perform residential and non-residential relocation calculations.</t>
  </si>
  <si>
    <t xml:space="preserve">- The ROWMS must have functionality to calculate mortgage differential payments capturing information in the calculation process such as existing loan balance, new loan amount, term of old loan, term of new loan, interest rate of new loan, existing payment, points, amount to be financed, and any other relevant data required for calculation or mortgage differential.</t>
  </si>
  <si>
    <t xml:space="preserve">- The ROWMS must have functionality to store and calculate price differential capturing information such as: less any carve outs, less any easements, less any other items, adjusted FMV, list price of selected comparable, less adjust FMV, price differential payment, any other relevant data.</t>
  </si>
  <si>
    <t xml:space="preserve">- The ROWMS must have functionality to store and calculate rental assistance payment, capturing information such as:</t>
  </si>
  <si>
    <t xml:space="preserve">- The ROWMS must have functionality to integrate with various Excel-based or internal relocation calculators, and link and store the calculation worksheets within the system.</t>
  </si>
  <si>
    <t xml:space="preserve">- The ROWMS must allow Users to prepare a replacement housing study triggered by completion of the appraisal or separate interface. The ROWMS must allow Users to document initial and subsequent meetings with displacee and information and explanations provided (Diary).</t>
  </si>
  <si>
    <t xml:space="preserve">- The ROWMS must have functionality to allow the Users to document available replacement housing including location, date available, asking price or rent price, a detailed description of the property, various attributes about the property and whether the property has been inspected and by whom (“comparables”).</t>
  </si>
  <si>
    <t xml:space="preserve">- The ROWMS must have functionality to allow the Users to generate relocation claim form for execution by residential displacee.</t>
  </si>
  <si>
    <t xml:space="preserve">- The ROWMS must have functionality to allow the Users to generate relocation claim form for execution by non-residential displacee.</t>
  </si>
  <si>
    <t xml:space="preserve">- The ROWMS must have functionality to generate a statement of rent and income for execution by residential and business displacee pre-populating where information is available in the system (owner name, spouse name, address, etc.).</t>
  </si>
  <si>
    <t xml:space="preserve">- The ROWMS must have functionality to allow the Users to generate thirty (30) day notification letter documenting requirement for property owner to vacate the property based on a request by an authorized User and document the date of the letter in the system.</t>
  </si>
  <si>
    <t xml:space="preserve">- The ROWMS must have functionality to allow the Users to document to whom the relocation brochure was delivered, and the date provided.</t>
  </si>
  <si>
    <t xml:space="preserve">- The ROWMS must have functionality to allow the Users to document replacement housing amount and to whom this amount was given, and the date provided (Notice of Eligibility).</t>
  </si>
  <si>
    <t xml:space="preserve">- The ROWMS must have functionality to allow the Users to compute whether displacees are eligible to make claims based on occupancy or displacement dates.</t>
  </si>
  <si>
    <t xml:space="preserve">- The ROWMS must have functionality to generate alerts within the system and a letter to displacees for a User-defined number of days/months (twelve (12) months, eighteen (18) months, etc.) before displacee's eligibility to enter a relocation expense claim is set to expire.</t>
  </si>
  <si>
    <t xml:space="preserve">- The ROWMS must have functionality to allow the Users to document contact with displacee during relocation including new address and contact information and information about the replacement dwelling.</t>
  </si>
  <si>
    <t xml:space="preserve">- The ROWMS must have functionality for providing an automated workflow to review/approve relocation payments with review steps based on User-defined business rules.</t>
  </si>
  <si>
    <t xml:space="preserve">- The ROWMS must have functionality for initiating a payment request for relocation and ability to record warrant numbers, date of warrants, and date paid to claimant (ability to request paper checks vs. electronic).</t>
  </si>
  <si>
    <t xml:space="preserve">- The ROWMS must have functionality to allow the Users to document types of relocation payments being offered (since some relocation payment types are taxable and others are not; potential support for 1099 generation).</t>
  </si>
  <si>
    <t xml:space="preserve">§9 Property Management Requirements</t>
  </si>
  <si>
    <t xml:space="preserve">- The System must have functionality to store date of request and date of completion of demolition activity.</t>
  </si>
  <si>
    <t xml:space="preserve">- The ROWMS must have functionality to allow the Users to submit a request to the District for maintenance to be performed, “boarding up” of structures acquired, or changing locks of existing structures after Acquisition.</t>
  </si>
  <si>
    <t xml:space="preserve">(E) evaluated – 'may have'</t>
  </si>
  <si>
    <t xml:space="preserve">- The ROWMS may have functionality to allow the Users to submit a “ready for demolition” request.</t>
  </si>
  <si>
    <t xml:space="preserve">Tab 2 ROW Agent – row 44</t>
  </si>
  <si>
    <t xml:space="preserve">ROWMS Reports: Relocation Measures Report (upgrade), Project Expenditures: Moving/Acquistion Payments. Examples provided. Annual Report requirements.</t>
  </si>
  <si>
    <t xml:space="preserve">| FHWA Report – Relocations | • Residential relocation, number of households permanently displaced during fiscal year, by project, total amount paid for residential moving, actual expenses, fixed payment, housing of last resort payments, number of tenant households permanently displaced, tenants utilizing down payment assista …</t>
  </si>
  <si>
    <t xml:space="preserve">Tab 9 Reports – row 19</t>
  </si>
  <si>
    <t xml:space="preserve">The system shall allow and/or all and not limited to open Condemnation Cases by project</t>
  </si>
  <si>
    <t xml:space="preserve">§9 Condemnation Requirements</t>
  </si>
  <si>
    <t xml:space="preserve">- The ROWMS must have functionality to store milestone dates relevant to condemnation (e.g., date condemnation packet received from negotiator, date Order of Condemnation and memorandum sent to Legal, date Complaint filed with Court, possession date, mediation date and/or status, scheduled trial date, stipulation, judgment, decree, etc.).</t>
  </si>
  <si>
    <t xml:space="preserve">- The ROWMS must have functionality to allow the Users to document outcome of court proceedings and amount of court award.</t>
  </si>
  <si>
    <t xml:space="preserve">• Ability to record information and/or status relevant to court case proceedings and settlements.</t>
  </si>
  <si>
    <t xml:space="preserve">… Including but not limited to: planning and engagement, pre-acquisition (right of entry, title, survey, land plan), appraisal, appraisal review, acquisition, closing, relocation, condemnation, jury trial, property management, disposition, and continued ownership of the real property asset. Additionally, the System must be able to track and document all requirements and notices required under the Uniform Relocation Assistance and Real Property Acquisition Policies Act and the Texas Property Co …</t>
  </si>
  <si>
    <t xml:space="preserve">- The ROWMS must have functionality to allow the Users to generate a memorandum regarding condemnation to document items such as: the last offer to the property owner, offer and counter offer details, discussion of negotiation attempts with property owner/authorized representative, appraisal information, diary information, title information, etc.</t>
  </si>
  <si>
    <t xml:space="preserve">- The ROWMS must have functionality to allow the Users to route electronically the condemnation request to authorized reviewers and approvers based on User-defined business rules.</t>
  </si>
  <si>
    <t xml:space="preserve">Tab 7 Administrative – row 8</t>
  </si>
  <si>
    <t xml:space="preserve">For Condmenation Process the Agents have the Notice of Offer, Declaration of Taking and the Notice of Condemnaion for formatting. Document and data sharing between ROW/AG/Tax and Land</t>
  </si>
  <si>
    <t xml:space="preserve">Tab 7 Administrative – row 9</t>
  </si>
  <si>
    <t xml:space="preserve">The Condemnation Process should have a list of all and not limited to paperwork after filings; example do we have the Recorded Notice of Condemnation; Did we send the Town/City and the AG's copies of the Notice of Condemnation  Did  Sheriff's Department Serve if available all Parties in New Hampshire; Did we do the out of State Serve. Did we send info to the NHBTLA and AG's office for the SERVE.</t>
  </si>
  <si>
    <t xml:space="preserve">Tab 7 Administrative – row 25</t>
  </si>
  <si>
    <t xml:space="preserve">Condemantions standard letters for Notice of offer, Declaration of Taking and Notice of Condemnation (W9, et al)</t>
  </si>
  <si>
    <t xml:space="preserve">Tab 9 Reports – row 17</t>
  </si>
  <si>
    <t xml:space="preserve">The system shall have tracking location (at AG's office; in Land titles)  on  Condemnations.</t>
  </si>
  <si>
    <t xml:space="preserve">Tab 9 Reports – row 18</t>
  </si>
  <si>
    <t xml:space="preserve">The system shall have tracking status on Legal Documents that are recorded.</t>
  </si>
  <si>
    <t xml:space="preserve">Tab 7 Administrative – row 10</t>
  </si>
  <si>
    <t xml:space="preserve">The Final Condemnation should have a final check payable to the  "Clerk of NHBTLA or property owner and et al"</t>
  </si>
  <si>
    <t xml:space="preserve">- The ROWMS must have functionality to allow the Users to process for payment any Legal condemnation payments (such as: invoices for process servers, expert witnesses, court possession or settlement payments.</t>
  </si>
  <si>
    <t xml:space="preserve">- The ROWMS must have functionality to allow the Users to process request for warrant payable to District Court and/or attorneys for court awards/settlement amounts or other payments.</t>
  </si>
  <si>
    <t xml:space="preserve">- The ROWMS must have functionality to allow the Users to track the condemnation rate by different parameters (e.g., fiscal year, urban/rural areas, state project, federal project, etc.).</t>
  </si>
  <si>
    <t xml:space="preserve">Tab 2 ROW Agent – row 28</t>
  </si>
  <si>
    <t xml:space="preserve">The system will track compensation offers, settlements, and actual payments/awards by parcel, payment types, outgoing and incoming .Trackable/searchable/reportable by project, party, date ranges and if offer withdrawals happen</t>
  </si>
  <si>
    <t xml:space="preserve">§9 Acquisition and Relocation Payments Requirements</t>
  </si>
  <si>
    <t xml:space="preserve">- The ROWMS must have functionality to allow the Users to generate payment request for property Acquisition and relocation to title company or property owner or displacees or Court or attorneys.</t>
  </si>
  <si>
    <t xml:space="preserve">• The system needs to have the ability to track contractor data (e.g. contact information, work completed, etc.) and payment data related to a project and/or acquisition.</t>
  </si>
  <si>
    <t xml:space="preserve">Tab 2 ROW Agent – row 31</t>
  </si>
  <si>
    <t xml:space="preserve">The system shall provide a way to add interested parties for payments</t>
  </si>
  <si>
    <t xml:space="preserve">- The ROWMS must have functionality to allow the Users to generate multiple warrant requests (e.g., if the property has multiple property owners who want individual checks, payments to trusts, payments to one or more banks for mortgage balances, payment to title companies, etc., as needed).</t>
  </si>
  <si>
    <t xml:space="preserve">- The ROWMS must have functionality to support multiple payees (warrants made out to multiple individuals) by percentage share due to each individual ensuring that the State must not pay more than 100% of the agreed amount.</t>
  </si>
  <si>
    <t xml:space="preserve">- The ROWMS must have functionality to support review and approval of payments via workflow for payments over a User-defined threshold.</t>
  </si>
  <si>
    <t xml:space="preserve">- The ROWMS must have functionality across the board for any payments to be requested returned to ROW as a paper check (L warrant) for disbursement or be direct mailed to the recipient.</t>
  </si>
  <si>
    <t xml:space="preserve">- The ROWMS must have functionality to allow the Users to generate requests for payment for property Acquisition to be by warrant (L payment) or by EFT directly to vendor. The ROWMS must have functionality to allow the Users to generate payment for relocation to be by warrant to owner, vendor, or title company (L payment) or by EFT directly to vendor or title company with approval of recipient.</t>
  </si>
  <si>
    <t xml:space="preserve">- The ROWMS must have functionality to allow the Users to schedule closing following receipt of all required payments or notification that such payments have been directly deposited to the respective title companies.</t>
  </si>
  <si>
    <t xml:space="preserve">§9 Payment Processing</t>
  </si>
  <si>
    <t xml:space="preserve">- The ROWMS must have functionality to allow the Users to document scheduled closing date.</t>
  </si>
  <si>
    <t xml:space="preserve">- The ROWMS must have functionality to allow the Users to document completion of closing process.</t>
  </si>
  <si>
    <t xml:space="preserve">… Including but not limited to: planning and engagement, pre-acquisition (right of entry, title, survey, land plan), appraisal, appraisal review, acquisition, closing, relocation, condemnation, jury trial, property management, disposition, and continued ownership of the real property asset. Additionally, the System must be able to track and document all requirements and notices required under the Uniform Relocation Assistance and Real Property Acquisition Polici …</t>
  </si>
  <si>
    <t xml:space="preserve">Tab 2 ROW Agent – row 29</t>
  </si>
  <si>
    <t xml:space="preserve">Desired/Optional / High</t>
  </si>
  <si>
    <t xml:space="preserve">The system will integrate with financial systems to process or verify payments.</t>
  </si>
  <si>
    <t xml:space="preserve">Tab 5 Appraisal – row 25</t>
  </si>
  <si>
    <t xml:space="preserve">The system will integrate with financial or ROW compensation systems to link appraisal value to offers/payments.</t>
  </si>
  <si>
    <t xml:space="preserve">Tab 7 Administrative – row 50</t>
  </si>
  <si>
    <t xml:space="preserve">Must integrate with existing DOT tools such as GIS/mapping platforms, Parcel databases, finance and project trakcing tools (e.g., FMIS, AASHTOWare etc.)</t>
  </si>
  <si>
    <t xml:space="preserve">- Property Management: Team must be able to manage complex negotiations with owners while keeping track of every detail for full legal compliance. Ideally, the ROWMS and ITD Financial Services must be able to integrate financial information to enable streamlined fund requests for all types of payments. The processes to coordinate leases, sales, and/or purchases will become more efficient with the use of configurable templates in the ROWMS and by enabling digital approvals and signatures for some documents.</t>
  </si>
  <si>
    <t xml:space="preserve">- The ROWMS may provide ITD the ability to interface with the agency's enterprise financial system (AMS/Advantage) and also with the Transportation Investment System (TIS), a future ITD system. ITD also anticipates a potential future integration with Luma, the State’s new financial system.</t>
  </si>
  <si>
    <t xml:space="preserve">Tab 7 Administrative – row 5</t>
  </si>
  <si>
    <t xml:space="preserve">The system shall have the ability to add vendords for direct payments. Autopopulate vendor code (NH First/Data Warehouse/ProMIS integration, OBIEE) Integrated billing system</t>
  </si>
  <si>
    <t xml:space="preserve">Tab 2 ROW Agent – row 25</t>
  </si>
  <si>
    <t xml:space="preserve">The system shall provide acquisition and relocation assignments and track payments for both the individual parcel and all project expenditures from ROW specific to FHWA mandated reports. Tracking or reporting should be broken out by acquisition, relocation, taxes, incidental expenses, protective rent, waive acquistion - capablities to search and report various needs.</t>
  </si>
  <si>
    <t xml:space="preserve">Tab 9 Reports – row 2</t>
  </si>
  <si>
    <t xml:space="preserve">The system shall have reporting capabilities for expenditures</t>
  </si>
  <si>
    <t xml:space="preserve">Tab 9 Reports – row 7</t>
  </si>
  <si>
    <t xml:space="preserve">The system shall have the ability to eporting project expenditures, status reporting, and specific ROW Agent measurements for performance tracking.</t>
  </si>
  <si>
    <t xml:space="preserve">Tab 2 ROW Agent – row 30</t>
  </si>
  <si>
    <t xml:space="preserve">The system will generate reports comparing appraised values and compensation paid across parcels or projects just compensation vs. settlement agreement/final payment.</t>
  </si>
  <si>
    <t xml:space="preserve">Tab 9 Reports – row 21</t>
  </si>
  <si>
    <t xml:space="preserve">| Consultant | Per Consultant, per lead agent, report on status, current projects/parcels assigned, clearance dates, condemnations, relocations |</t>
  </si>
  <si>
    <t xml:space="preserve">- The ROWMS may have functionality to allow the Users to display the fund balances for a project when a payment request is generated in the system (upon integration with our financial system (CGI Advantage).</t>
  </si>
  <si>
    <t xml:space="preserve">- The ROWMS may have functionality to generate alerts when the available funds on a project fall below a threshold value. This includes the ability to specify the threshold value in the system (upon integration with our financial system (CGI Advantage).</t>
  </si>
  <si>
    <t xml:space="preserve">- The ROWMS may have functionality to allow the Users to record expenditures against project, project phase, and funding source and adjust encumbrance as appropriate (upon integration with our financial system (CGI Advantage).</t>
  </si>
  <si>
    <t xml:space="preserve">- The ROWMS must have functionality to allow the Users to maintain an inventory of property. Inventory shall include parcel location including full geospatial location, property description, information on any structures and other attributes. Inventory record must be linked back to historical Acquisition information.</t>
  </si>
  <si>
    <t xml:space="preserve">• Property management: Maintains an inventory of ROW and non-ROW parcels and improvements.</t>
  </si>
  <si>
    <t xml:space="preserve">Scope – I. Project Goals</t>
  </si>
  <si>
    <t xml:space="preserve">• Create a database of real property asset management for ATP.</t>
  </si>
  <si>
    <t xml:space="preserve">BRD §6.1.7/§7.1 – Req 1166</t>
  </si>
  <si>
    <t xml:space="preserve">Ability to accept and apply user pre-defined compliance factors for properties managed. [table extract]</t>
  </si>
  <si>
    <t xml:space="preserve">Tab 6 Property Mgmt – row 4</t>
  </si>
  <si>
    <t xml:space="preserve">The system shall track the full lifecycle of a parcel from acquisition, active use, surplus designation, to disposal or lease.</t>
  </si>
  <si>
    <t xml:space="preserve">… The ROWMS must be able to track all types of properties, their status, when they were purchased by ITD, where the keys are if improvements remain, whether utilities have been canceled, turned off, and indication when the is sold, leased, or otherwise disposed of.</t>
  </si>
  <si>
    <t xml:space="preserve">• The system shall maintain an accurate accounting of the “area” and “type” of property WSDOT owns, including the ability to maintain an original area as acquired, how much property remains and what portion of a particular property is sold, rented, leased or otherwise committed.</t>
  </si>
  <si>
    <t xml:space="preserve">- The ROWMS must have functionality to allow the Users to maintain an inventory of ROW acquired in a project (remnant) in excess of that needed for the project. Inventory shall include parcel location including full geospatial location, property description, information on any structures and other attributes. Inventory record must be linked back to historical Acquisition information.</t>
  </si>
  <si>
    <t xml:space="preserve">Tab 6 Property Mgmt – row 8</t>
  </si>
  <si>
    <t xml:space="preserve">The system shall be able to detect duplicate surplus property.</t>
  </si>
  <si>
    <t xml:space="preserve">Tab 6 Property Mgmt – row 31</t>
  </si>
  <si>
    <t xml:space="preserve">The system shall support legacy ROW numbering schemes or property identifiers currently in use by DOT.</t>
  </si>
  <si>
    <t xml:space="preserve">(ME) mandatory &amp; evaluated</t>
  </si>
  <si>
    <t xml:space="preserve">- (ME) The ROWMS must have functionality to allow the Users the ability to continue using the parcel ID convention from current system.</t>
  </si>
  <si>
    <t xml:space="preserve">Tab 6 Property Mgmt – row 23</t>
  </si>
  <si>
    <t xml:space="preserve">The system shall connect parcel data, with project, owner and ROW data with key word/fuzzy search capabilities.</t>
  </si>
  <si>
    <t xml:space="preserve">- The ROWMS must have functionality to allow the Users the ability to search property inventory by a variety of User defined criteria such as District, County, route/milepost, Key Number, Project Number, Owner, Maintenance Yard Number, Material Source Number, Parcel ID Number, Section, Township, Range, Quarter, Quarter-Quarter, County, Assessor Parcel Number, AIN, etc.</t>
  </si>
  <si>
    <t xml:space="preserve">- (ME) The ROWMS must have GIS viewer functionality to allow Users the ability to geospatially map results of a property search request, search by selecting an area of interest, display parcels in the inventory of properties and allow Users to select a parcel and then drill down into inventory information available within the ROW and/or Property Management applications.</t>
  </si>
  <si>
    <t xml:space="preserve">- The ROWMS must have functionality to allow the Users to integrate the property inventory where there is a structure to be maintained/managed by ITD for some period of time (this must allow use of property use agreements, lease agreements, work orders and other management tracking functionality available). Facility must be populated when acquired and added to the inventory and then retired when demolished or sold.</t>
  </si>
  <si>
    <t xml:space="preserve">Tab 6 Property Mgmt – row 10</t>
  </si>
  <si>
    <t xml:space="preserve">The system shall be able to track costs for each rented property.</t>
  </si>
  <si>
    <t xml:space="preserve">Tab 6 Property Mgmt – row 11</t>
  </si>
  <si>
    <t xml:space="preserve">The system shall be able to track lease and insurance expirations</t>
  </si>
  <si>
    <t xml:space="preserve">- The ROWMS must have functionality to allow the Users to manage and track leases on properties within and during a Project, as well as any other leasing opportunities or requests for ITD property ancillary to a project.</t>
  </si>
  <si>
    <t xml:space="preserve">• The system shall support the ROW Property Management process for creating and managing leases including monthly billing and accounting.</t>
  </si>
  <si>
    <t xml:space="preserve">BRD §6.1.7/§7.1 – Req 1145</t>
  </si>
  <si>
    <t xml:space="preserve">Ability to accept and apply user pre-defined compliance factors to leases. [table extract]</t>
  </si>
  <si>
    <t xml:space="preserve">- The ROWMS must have functionality to support invoicing for lease amounts due and obtaining information back on receipt of payments (upon integration with FS and/or AMS).</t>
  </si>
  <si>
    <t xml:space="preserve">BRD §6.1.7/§7.1 – Req 1146</t>
  </si>
  <si>
    <t xml:space="preserve">Ability to create rent rolls, payment schedules and compliance schedules that are configurable to integrate with County's financial system. [table extract]</t>
  </si>
  <si>
    <t xml:space="preserve">BRD §6.1.7/§7.1 – Req 1148</t>
  </si>
  <si>
    <t xml:space="preserve">Ability to track payments made against each property against balance due throughout lifecycle of the lease. [table extract]</t>
  </si>
  <si>
    <t xml:space="preserve">BRD §6.1.7/§7.1 – Req 1149</t>
  </si>
  <si>
    <t xml:space="preserve">Should Have</t>
  </si>
  <si>
    <t xml:space="preserve">Ability to automatically generating invoice based on specific calendar dates. [table extract]</t>
  </si>
  <si>
    <t xml:space="preserve">• The system needs to recalculate rent/lease transactions based on the changes to the index data when renewing the rent/lease agreement.</t>
  </si>
  <si>
    <t xml:space="preserve">Tab 6 Property Mgmt – row 38</t>
  </si>
  <si>
    <t xml:space="preserve">Integrates MLS current market rental rates for rent reccomendation</t>
  </si>
  <si>
    <t xml:space="preserve">Tab 6 Property Mgmt – row 37</t>
  </si>
  <si>
    <t xml:space="preserve">The system shall support document expiration tracking, such as for leases and permits.</t>
  </si>
  <si>
    <t xml:space="preserve">BRD §6.1.7/§7.1 – Req 1147</t>
  </si>
  <si>
    <t xml:space="preserve">Ability to provide alerts/notifications of upcoming expiration of required compliance factors (i.e., licenses, certificate of insurance, etc.). [table extract]</t>
  </si>
  <si>
    <t xml:space="preserve">BRD §6.1.7/§7.1 – Req 1150</t>
  </si>
  <si>
    <t xml:space="preserve">Ability to automatically generating alerts/notices for payments, violations, terminations, etc. [table extract]</t>
  </si>
  <si>
    <t xml:space="preserve">BRD §6.1.7/§7.1 – Req 1151</t>
  </si>
  <si>
    <t xml:space="preserve">Ability to track compliance factors established for various lease types. [table extract]</t>
  </si>
  <si>
    <t xml:space="preserve">Tab 6 Property Mgmt – row 18</t>
  </si>
  <si>
    <t xml:space="preserve">Manage TU&amp;O, Encroachment and (Alternative Use Agreements). And track expirations/status where applicable.</t>
  </si>
  <si>
    <t xml:space="preserve">BRD §6.1.7/§7.1 – Req 1158</t>
  </si>
  <si>
    <t xml:space="preserve">Ability to track start and expiration dates of agreements. [table extract]</t>
  </si>
  <si>
    <t xml:space="preserve">BRD §6.1.7/§7.1 – Req 1155</t>
  </si>
  <si>
    <t xml:space="preserve">Ability to allow selected users access to the agreements. [table extract]</t>
  </si>
  <si>
    <t xml:space="preserve">• Ability to process, track, and manage utility franchise agreements.</t>
  </si>
  <si>
    <t xml:space="preserve">• Ability to process, track, and manage general use permits.</t>
  </si>
  <si>
    <t xml:space="preserve">• Ability to process, track, and manage access permits and agreements.</t>
  </si>
  <si>
    <t xml:space="preserve">BRD §6.1.7/§7.1 – Req 1153</t>
  </si>
  <si>
    <t xml:space="preserve">Ability to track and allow public advertisement of available leasable property. [table extract]</t>
  </si>
  <si>
    <t xml:space="preserve">BRD §6.1.7/§7.1 – Req 1165</t>
  </si>
  <si>
    <t xml:space="preserve">Ability to track and allow public advertisement of available use agreement property. [table extract]</t>
  </si>
  <si>
    <t xml:space="preserve">BRD §6.1.7/§7.1 – Req 1173</t>
  </si>
  <si>
    <t xml:space="preserve">Ability to track and allow public advertisement of available properties. [table extract]</t>
  </si>
  <si>
    <t xml:space="preserve">BRD §6.1.7/§7.1 – Req 1152</t>
  </si>
  <si>
    <t xml:space="preserve">Ability to allow external and internal (County and Civilian users) requests for leases. [table extract]</t>
  </si>
  <si>
    <t xml:space="preserve">BRD §6.1.7/§7.1 – Req 1163</t>
  </si>
  <si>
    <t xml:space="preserve">Ability to allow external and internal requests for agreements. [table extract]</t>
  </si>
  <si>
    <t xml:space="preserve">BRD §6.1.7/§7.1 – Req 1172</t>
  </si>
  <si>
    <t xml:space="preserve">Ability to allow external and internal requests for properties managed. [table extract]</t>
  </si>
  <si>
    <t xml:space="preserve">Tab 6 Property Mgmt – row 17</t>
  </si>
  <si>
    <t xml:space="preserve">The system shall have the ability to create annual letters.</t>
  </si>
  <si>
    <t xml:space="preserve">Tab 6 Property Mgmt – row 21</t>
  </si>
  <si>
    <t xml:space="preserve">The system shall track lease revenues, property maintenance costs, or disposal proceeds, by region, by project, by time-frame etc.</t>
  </si>
  <si>
    <t xml:space="preserve">| Leases | Lessee report for type of lease, start date, expiration date, monthly rent, responsibilities, use of property, rent frequency, etc. |</t>
  </si>
  <si>
    <t xml:space="preserve">BRD §6.1.7/§7.1 – Req 1179</t>
  </si>
  <si>
    <t xml:space="preserve">Ability to generate reports that include current roll and compliance roster status of tenants indicating payments made and compliance. [table extract]</t>
  </si>
  <si>
    <t xml:space="preserve">BRD §6.1.7/§7.1 – Req 1180</t>
  </si>
  <si>
    <t xml:space="preserve">Ability to provide scheduled reports on all upcoming and passed lease and compliance factors expiration dates. [table extract]</t>
  </si>
  <si>
    <t xml:space="preserve">Tab 6 Property Mgmt – row 12</t>
  </si>
  <si>
    <t xml:space="preserve">The system shall be able to track property inspections.</t>
  </si>
  <si>
    <t xml:space="preserve">Tab 6 Property Mgmt – row 34</t>
  </si>
  <si>
    <t xml:space="preserve">The system shall store inspection data (forms/pictures) with search capabilities by GIS, project, parcel, owner, town.</t>
  </si>
  <si>
    <t xml:space="preserve">BRD §6.1.7/§7.1 – Req 1174</t>
  </si>
  <si>
    <t xml:space="preserve">Ability to schedule and track routine inspections of properties while allowing for user annotations and upload of photos. (JPG, GIF, TIF, BMP) [table extract]</t>
  </si>
  <si>
    <t xml:space="preserve">BRD §6.1.7/§7.1 – Req 1181</t>
  </si>
  <si>
    <t xml:space="preserve">Ability to generate inspection reports of property reviews as well as the reporting of planned versus actual property inspections. [table extract]</t>
  </si>
  <si>
    <t xml:space="preserve">Tab 6 Property Mgmt – row 35</t>
  </si>
  <si>
    <t xml:space="preserve">The system shall log miles driven on inspections and automatically enter that data into the financial system.</t>
  </si>
  <si>
    <t xml:space="preserve">Tab 6 Property Mgmt – row 36</t>
  </si>
  <si>
    <t xml:space="preserve">The system shall integrate with work order system.</t>
  </si>
  <si>
    <t xml:space="preserve">City of Calgary RFI 25-006</t>
  </si>
  <si>
    <t xml:space="preserve">§2.4 Functional capabilities</t>
  </si>
  <si>
    <t xml:space="preserve">RFI – expected capability (no priority given)</t>
  </si>
  <si>
    <t xml:space="preserve">No – city/county doc, shown for reference</t>
  </si>
  <si>
    <t xml:space="preserve">- workorder management: The ability to generate work orders, and assign resources to schedule and monitor work activities, and ability to integrate with The City’s existing work order system;</t>
  </si>
  <si>
    <t xml:space="preserve">Tab 1 General – row 43</t>
  </si>
  <si>
    <t xml:space="preserve">The solution shall have the ability to have parcels acquired for specific projects tracked AND added ti the potential surplus land</t>
  </si>
  <si>
    <t xml:space="preserve">Tab 1 General – row 44</t>
  </si>
  <si>
    <t xml:space="preserve">The solution must be ablity to track surplus land</t>
  </si>
  <si>
    <t xml:space="preserve">Tab 9 Reports – row 11</t>
  </si>
  <si>
    <t xml:space="preserve">The system shall have the ability to create status reports for each land surplus process</t>
  </si>
  <si>
    <t xml:space="preserve">• The system shall support the ROW Property Management process for declaring a property as surplus to the needs of the Department.</t>
  </si>
  <si>
    <t xml:space="preserve">Perf. Requirements – Sales</t>
  </si>
  <si>
    <t xml:space="preserve">• Ability to support the surplus process and sale of property and retain the data</t>
  </si>
  <si>
    <t xml:space="preserve">• Coordinate FHWA approval</t>
  </si>
  <si>
    <t xml:space="preserve">• Required Paperwork Tracking</t>
  </si>
  <si>
    <t xml:space="preserve">Tab 6 Property Mgmt – row 24</t>
  </si>
  <si>
    <t xml:space="preserve">The system shall keep track of (searchable) sold properties by quarter/yearly.</t>
  </si>
  <si>
    <t xml:space="preserve">| Biennial Surplus Property Sales/Donations | Per District per Two-Year Period, Key Number, Parcel Number, Parcel ID Number, Program Number, Grantee, County, Recording Date, Recording Instrument Number, Acreage, Sale Price (Land Only), Sales Fee, Total of Sales Price plus Land Fee, Comments |</t>
  </si>
  <si>
    <t xml:space="preserve">Tab 6 Property Mgmt – row 22</t>
  </si>
  <si>
    <t xml:space="preserve">The system shall include compliance tracking for annual property inventory, state-owned buildings, state surplus procedures (RSA's), or environmental clearances.</t>
  </si>
  <si>
    <t xml:space="preserve">| Property Management | Report on property owned per District, including all contact information if leased, if farmed, type of property: remnant, surplus, leased, location, acres, terms of lease or other arrangements. |</t>
  </si>
  <si>
    <t xml:space="preserve">BRD §6.1.7/§7.1 – Req 1188</t>
  </si>
  <si>
    <t xml:space="preserve">Ability to generate comprehensive reports of all properties managed. [table extract]</t>
  </si>
  <si>
    <t xml:space="preserve">Tab 8 Rail &amp; Transit – row 47</t>
  </si>
  <si>
    <t xml:space="preserve">The platform shall manage RR Crossing Agreements</t>
  </si>
  <si>
    <t xml:space="preserve">Tab 8 Rail &amp; Transit – row 40</t>
  </si>
  <si>
    <t xml:space="preserve">The system shall preserve existing data to include any associated intelligence currently preserved.</t>
  </si>
  <si>
    <t xml:space="preserve">Tab 8 Rail &amp; Transit – row 41</t>
  </si>
  <si>
    <t xml:space="preserve">Valuation maps</t>
  </si>
  <si>
    <t xml:space="preserve">Tab 8 Rail &amp; Transit – row 42</t>
  </si>
  <si>
    <t xml:space="preserve">RAIL Access database</t>
  </si>
  <si>
    <t xml:space="preserve">Tab 8 Rail &amp; Transit – row 44</t>
  </si>
  <si>
    <t xml:space="preserve">Long Range</t>
  </si>
  <si>
    <t xml:space="preserve">Tab 8 Rail &amp; Transit – row 45</t>
  </si>
  <si>
    <t xml:space="preserve">Desired/Optional / Medium</t>
  </si>
  <si>
    <t xml:space="preserve">G&amp;C</t>
  </si>
  <si>
    <t xml:space="preserve">Tab 9 Reports – row 23</t>
  </si>
  <si>
    <t xml:space="preserve">Annual Long Range Capital Planning &amp; Utilization annual report- Status of items approved by the Committee.</t>
  </si>
  <si>
    <t xml:space="preserve">Tab 8 Rail &amp; Transit – row 38</t>
  </si>
  <si>
    <t xml:space="preserve">Reports (see below)</t>
  </si>
  <si>
    <t xml:space="preserve">Tab 8 Rail &amp; Transit – row 13</t>
  </si>
  <si>
    <t xml:space="preserve">Trails (GIS layer)</t>
  </si>
  <si>
    <t xml:space="preserve">Tab 8 Rail &amp; Transit – row 14</t>
  </si>
  <si>
    <t xml:space="preserve">RR (GIS layer)</t>
  </si>
  <si>
    <t xml:space="preserve">Tab 8 Rail &amp; Transit – row 25</t>
  </si>
  <si>
    <t xml:space="preserve">The system will integrate with external map providers/vendors.</t>
  </si>
  <si>
    <t xml:space="preserve">Tab 8 Rail &amp; Transit – row 26</t>
  </si>
  <si>
    <t xml:space="preserve">Tab 8 Rail &amp; Transit – row 27</t>
  </si>
  <si>
    <t xml:space="preserve">Town property maps</t>
  </si>
  <si>
    <t xml:space="preserve">Tab 8 Rail &amp; Transit – row 30</t>
  </si>
  <si>
    <t xml:space="preserve">SADES</t>
  </si>
  <si>
    <t xml:space="preserve">Tab 8 Rail &amp; Transit – row 35</t>
  </si>
  <si>
    <t xml:space="preserve">ortho</t>
  </si>
  <si>
    <t xml:space="preserve">Tab 8 Rail &amp; Transit – row 36</t>
  </si>
  <si>
    <t xml:space="preserve">datum</t>
  </si>
  <si>
    <t xml:space="preserve">Tab 8 Rail &amp; Transit – row 5</t>
  </si>
  <si>
    <t xml:space="preserve">SharePoint</t>
  </si>
  <si>
    <t xml:space="preserve">Tab 8 Rail &amp; Transit – row 6</t>
  </si>
  <si>
    <t xml:space="preserve">Mosaic (NH Granite)</t>
  </si>
  <si>
    <t xml:space="preserve">Tab 8 Rail &amp; Transit – row 7</t>
  </si>
  <si>
    <t xml:space="preserve">Optional / Low</t>
  </si>
  <si>
    <t xml:space="preserve">WOFI</t>
  </si>
  <si>
    <t xml:space="preserve">Tab 8 Rail &amp; Transit – row 8</t>
  </si>
  <si>
    <t xml:space="preserve">MTS</t>
  </si>
  <si>
    <t xml:space="preserve">Tab 8 Rail &amp; Transit – row 9</t>
  </si>
  <si>
    <t xml:space="preserve">NHFirst(Lawson)</t>
  </si>
  <si>
    <t xml:space="preserve">Tab 8 Rail &amp; Transit – row 10</t>
  </si>
  <si>
    <t xml:space="preserve">ProMIS</t>
  </si>
  <si>
    <t xml:space="preserve">Tab 8 Rail &amp; Transit – row 11</t>
  </si>
  <si>
    <t xml:space="preserve">OBIEE</t>
  </si>
  <si>
    <t xml:space="preserve">Tab 8 Rail &amp; Transit – row 33</t>
  </si>
  <si>
    <t xml:space="preserve">• Utility relocations: Determine the extent of relocations.</t>
  </si>
  <si>
    <t xml:space="preserve">• Utility Coordination: Liaises with utility companies for timely information exchange, transfers knowledge related to ROW utility occupancy policy, and provides guidance on state, federal, and other jurisdictional documentation and procedural requirements to facilitate accommodation of utility infrastructure within the ROW and to meet highway project schedules.</t>
  </si>
  <si>
    <t xml:space="preserve">• Apply NMAC 17.4.2 criteria and determine eligibility for utility relocation cost reimbursements.</t>
  </si>
  <si>
    <t xml:space="preserve">• Subsurface Utility Engineering (SUE): Is used to determine the exact location of underground utilities in a project site to accurately show construction plans and minimize potential conflicts, construction delays, and relocation reimbursement costs.</t>
  </si>
  <si>
    <t xml:space="preserve">App. A §3.2.4</t>
  </si>
  <si>
    <t xml:space="preserve">• Support spatial analysis for conflict detection and planning.</t>
  </si>
  <si>
    <t xml:space="preserve">• Provide 3-D mapping as required for conflict detection / analysis.</t>
  </si>
  <si>
    <t xml:space="preserve">Tab 1 General – row 2</t>
  </si>
  <si>
    <t xml:space="preserve">The solution shall support document repository. The ability for it to be broken down by project, parcel, ROW agent notes. Legal documents, condemnation files, apprassials, awards, plans</t>
  </si>
  <si>
    <t xml:space="preserve">Tab 6 Property Mgmt – row 14</t>
  </si>
  <si>
    <t xml:space="preserve">The system shall centralize and securely store ROW files including appraisal reports, offer letters, easements and relocation documentation.</t>
  </si>
  <si>
    <t xml:space="preserve">Tab 7 Administrative – row 12</t>
  </si>
  <si>
    <t xml:space="preserve">Centralized digital repository for read only access to all ROW documents (acquistions, appraisals, surveys, etc.)</t>
  </si>
  <si>
    <t xml:space="preserve">Tab 3 Survey – row 6</t>
  </si>
  <si>
    <t xml:space="preserve">The system shall have the ability to securely upload files (e.g., pdf, .docx.,xlsx, csv, txt, dat... etc).</t>
  </si>
  <si>
    <t xml:space="preserve">Tab 6 Property Mgmt – row 5</t>
  </si>
  <si>
    <t xml:space="preserve">The system shall link properties to related documents such as deeds, title reports, ROW plans, maps or environmental reviews.</t>
  </si>
  <si>
    <t xml:space="preserve">• Document management capabilities for storing and retrieving relevant files.</t>
  </si>
  <si>
    <t xml:space="preserve">• Document Management: Storage of all real estate documents and the ability to export to a third- party management system to store and retrieve associated documents (e.g., deeds, surveys, agreements, permits). Ability to link documents to specific ROW records by uploading and downloading Create mail merge functionality for data into standard documents.</t>
  </si>
  <si>
    <t xml:space="preserve">• Document Information: Document type, title, date, file path.</t>
  </si>
  <si>
    <t xml:space="preserve">BRD §6.1.7/§7.1 – Req 1193</t>
  </si>
  <si>
    <t xml:space="preserve">Ability to allow users with appropriate access privileges to create and add documents. [table extract]</t>
  </si>
  <si>
    <t xml:space="preserve">- Content management: Manages digital content, such as images, documents, and videos, to improve collaboration and access to critical business information.</t>
  </si>
  <si>
    <t xml:space="preserve">Tab 6 Property Mgmt – row 15</t>
  </si>
  <si>
    <t xml:space="preserve">The system shall provide a way to tag or categorize documents by parcel number, project ID, transaction type, (e.g., lease, sale, temporary easement).</t>
  </si>
  <si>
    <t xml:space="preserve">Tab 7 Administrative – row 13</t>
  </si>
  <si>
    <t xml:space="preserve">Easy scanning and uploading of paper records with OCR (optical character recognition) support</t>
  </si>
  <si>
    <t xml:space="preserve">Tab 7 Administrative – row 14</t>
  </si>
  <si>
    <t xml:space="preserve">Bulk document import/export tools - editable documents</t>
  </si>
  <si>
    <t xml:space="preserve">BRD §6.1.7/§7.1 – Req 1194</t>
  </si>
  <si>
    <t xml:space="preserve">Ability to retrieving documents currently stored in County databases &amp; file servers. [table extract]</t>
  </si>
  <si>
    <t xml:space="preserve">Tab 7 Administrative – row 15</t>
  </si>
  <si>
    <t xml:space="preserve">Automated version control to track edits, approvals, and changes- sharable among agencies</t>
  </si>
  <si>
    <t xml:space="preserve">Tab 7 Administrative – row 16</t>
  </si>
  <si>
    <t xml:space="preserve">Required / n/a</t>
  </si>
  <si>
    <t xml:space="preserve">Document routing and approval workflows that support current clerical processes (e.g., review -&gt; sign-off-&gt; archive)</t>
  </si>
  <si>
    <t xml:space="preserve">BRD §6.1.7/§7.1 – Req 1195</t>
  </si>
  <si>
    <t xml:space="preserve">Ability to allow annotation and retention of documents in workflow. [table extract]</t>
  </si>
  <si>
    <t xml:space="preserve">BRD §6.1.7/§7.1 – Req 1196</t>
  </si>
  <si>
    <t xml:space="preserve">Ability to maintain version control of documents as they move through workflow (i.e., electronically signed documents). [table extract]</t>
  </si>
  <si>
    <t xml:space="preserve">BRD §6.1.7/§7.1 – Req 1204</t>
  </si>
  <si>
    <t xml:space="preserve">Ability to support a multi-level approval process for workflow. [table extract]</t>
  </si>
  <si>
    <t xml:space="preserve">BRD §6.1.7/§7.1 – Req 1197</t>
  </si>
  <si>
    <t xml:space="preserve">Ability to generate reports for the status of documents in workflow. [table extract]</t>
  </si>
  <si>
    <t xml:space="preserve">- The ROWMS must have functionality to integrate with ITD Document Management System (ProjectWise) to store all relevant documents in specifically identified folders relevant to specific projects.</t>
  </si>
  <si>
    <t xml:space="preserve">- The ROWMS may provide the ability to interface or integrate with other ROW-related systems; e.g., ability to easily transfer documents to ProjectWise, obtain permitting information from Districts or compiled information from HQ.</t>
  </si>
  <si>
    <t xml:space="preserve">- The ROWMS must provide the ability to store, identify, categorize, and download pictures in various formats including HEIC for Project/Parcel use. For example, pictures of a sign on a particular parcel can be uploaded, categorized, and attached to that Parcel/Project, and downloaded into a report.</t>
  </si>
  <si>
    <t xml:space="preserve">Tab 6 Property Mgmt – row 16</t>
  </si>
  <si>
    <t xml:space="preserve">The system shall support document expiration tracking, such as for appraisals.</t>
  </si>
  <si>
    <t xml:space="preserve">Tab 7 Administrative – row 18</t>
  </si>
  <si>
    <t xml:space="preserve">Fast, indexed search across all documents and projects including full-text and metadata (owner name, project number, parcel ID)</t>
  </si>
  <si>
    <t xml:space="preserve">§9 Management Reporting – Standard Features</t>
  </si>
  <si>
    <t xml:space="preserve">- The ROWMS must have functionality to provide authorized Users with the capability to perform free-form text searching that includes embedded, attached, or linked documents.</t>
  </si>
  <si>
    <t xml:space="preserve">BRD §6.1.7/§7.1 – Req 1200</t>
  </si>
  <si>
    <t xml:space="preserve">Ability to search for and retrieve documents associated with and based on each propriety and parcel. [table extract]</t>
  </si>
  <si>
    <t xml:space="preserve">Tab 1 General – row 33</t>
  </si>
  <si>
    <t xml:space="preserve">The solution shall have the ability to outline a workflow</t>
  </si>
  <si>
    <t xml:space="preserve">App. A §3.2.2</t>
  </si>
  <si>
    <t xml:space="preserve">• Automate workflows for internal ROW approvals, reviews, and escalations.</t>
  </si>
  <si>
    <t xml:space="preserve">Perf. Requirements</t>
  </si>
  <si>
    <t xml:space="preserve">… In all cases, the system needs to be able to manage workflows and adapt to WSDOT processes including electronic “approvals” for the various milestones, payment vouchers, etc.</t>
  </si>
  <si>
    <t xml:space="preserve">BRD §6.1.7/§7.1 – Req 1203</t>
  </si>
  <si>
    <t xml:space="preserve">Ability for the workflow engine to utilize system security to help ensure that only users with appropriate levels of authority have access to certain documents, system functionality and data. [table extract]</t>
  </si>
  <si>
    <t xml:space="preserve">… The proposed solution should be designed with modern standards, and a modular interface, configurable workflow, integrations with other City systems, and incorporate insights gained from the previous system to optimize staff efficiency. Vendors are encouraged to provide details of the product features, functionalities and highlight implementations at other client locations that are similar to The City’s ope …</t>
  </si>
  <si>
    <t xml:space="preserve">Tab 7 Administrative – row 31</t>
  </si>
  <si>
    <t xml:space="preserve">To-do lists or dashboards for clerical status/scheduling feature</t>
  </si>
  <si>
    <t xml:space="preserve">§9 Management Reporting - Ad-hoc Query</t>
  </si>
  <si>
    <t xml:space="preserve">- The ROWMS must have functionality to provide the ability to filter tasks (Example: Environmental Tasks, Design Tasks, Tasks assigned to me, Project assigned to me, Parcels assigned to me, etc.).</t>
  </si>
  <si>
    <t xml:space="preserve">• Enable tracking and management of tasks, documents, and communications.</t>
  </si>
  <si>
    <t xml:space="preserve">• Streamline internal ROW Bureau processes, including document sharing, task management, and stakeholder communication.</t>
  </si>
  <si>
    <t xml:space="preserve">Tab 1 General – row 16</t>
  </si>
  <si>
    <t xml:space="preserve">The solution shall have the ability to create project schedules and communicates individual assignments by team.</t>
  </si>
  <si>
    <t xml:space="preserve">Tab 1 General – row 34</t>
  </si>
  <si>
    <t xml:space="preserve">The solution shall have the ability to to outline a project milestone</t>
  </si>
  <si>
    <t xml:space="preserve">Tab 1 General – row 35</t>
  </si>
  <si>
    <t xml:space="preserve">The solution shall have the ability notify end users if the project ison schedule or not</t>
  </si>
  <si>
    <t xml:space="preserve">Tab 6 Property Mgmt – row 9</t>
  </si>
  <si>
    <t xml:space="preserve">The system shall have the ability to track project status.</t>
  </si>
  <si>
    <t xml:space="preserve">Tab 8 Rail &amp; Transit – row 34</t>
  </si>
  <si>
    <t xml:space="preserve">project tracking</t>
  </si>
  <si>
    <t xml:space="preserve">Tab 1 General – row 29</t>
  </si>
  <si>
    <t xml:space="preserve">The solution shall have the ability to automate messages to the next team gemnerate as the project assignment progresses.With no intervention of a person to send separate emails or reminders.</t>
  </si>
  <si>
    <t xml:space="preserve">Tab 1 General – row 45</t>
  </si>
  <si>
    <t xml:space="preserve">The solution shall have the ability to lock down file structurs for projects to ensure data entered  is in the same format every time</t>
  </si>
  <si>
    <t xml:space="preserve">Tab 7 Administrative – row 32</t>
  </si>
  <si>
    <t xml:space="preserve">Reminders and alerts for tasks like mailing deadlines, G&amp;C dates, form submission, or public notices</t>
  </si>
  <si>
    <t xml:space="preserve">- The ROWMS must allow the Users to schedule future notifications to Team or other specified recipients on specific dates to alert the recipient(s) to schedule tasks, perform tasks, indicate completion of tasks, schedule event deadlines, and identify actions related to attached documents, for all aspects of parcel s. The ROWMS must allow Users to manage, review, filter, delete, and complete notifications.</t>
  </si>
  <si>
    <t xml:space="preserve">• Support automated workflows, notifications to stakeholders, and comprehensive query and reporting capabilities.</t>
  </si>
  <si>
    <t xml:space="preserve">BRD §6.1.7/§7.1 – Req 1006</t>
  </si>
  <si>
    <t xml:space="preserve">Ability to provide system notifications and system alerts to County-identified users when workflow items require their attention. [table extract]</t>
  </si>
  <si>
    <t xml:space="preserve">§9 System Non-Functional Requirements</t>
  </si>
  <si>
    <t xml:space="preserve">- The ROWMS shall support electronic communications and notifications. The ROWMS shall provide the ability for ITD to send a message to multiple Users at once, through the software.</t>
  </si>
  <si>
    <t xml:space="preserve">Tab 1 General – row 36</t>
  </si>
  <si>
    <t xml:space="preserve">The solution shall have the ability to notify and have full transparency for all interested parties the current status of the acquistons</t>
  </si>
  <si>
    <t xml:space="preserve">• Provide real-time tracking of ROW activities, key dates, and associated documents.</t>
  </si>
  <si>
    <t xml:space="preserve">BRD §6.1.7/§7.1 – Req 1090</t>
  </si>
  <si>
    <t xml:space="preserve">Ability to automatically email status updates as the request is processed. [table extract]</t>
  </si>
  <si>
    <t xml:space="preserve">App. A §3.2.6</t>
  </si>
  <si>
    <t xml:space="preserve">• Enable communication tools for coordinating with title companies, appraisers, property owners, utility companies, contractors, other federal and local government agencies, and other external partners.</t>
  </si>
  <si>
    <t xml:space="preserve">• Improve communication between internal ROW units and external stakeholders, such as title companies, appraisers, property owners, and utility companies.</t>
  </si>
  <si>
    <t xml:space="preserve">Tab 7 Administrative – row 35</t>
  </si>
  <si>
    <t xml:space="preserve">System to track letters, emails, faxes, and phone calls</t>
  </si>
  <si>
    <t xml:space="preserve">Tab 7 Administrative – row 36</t>
  </si>
  <si>
    <t xml:space="preserve">Log communications by parcel, owner, or project</t>
  </si>
  <si>
    <t xml:space="preserve">Tab 7 Administrative – row 37</t>
  </si>
  <si>
    <t xml:space="preserve">Integration with Outlook email</t>
  </si>
  <si>
    <t xml:space="preserve">Tab 2 ROW Agent – row 14</t>
  </si>
  <si>
    <t xml:space="preserve">The system shall provide flexible/Standardized Templates- like offer and agreement template. Templates will be reviewed and updated periodically. Formatting/Editing by end-user.</t>
  </si>
  <si>
    <t xml:space="preserve">Tab 7 Administrative – row 22</t>
  </si>
  <si>
    <t xml:space="preserve">Integration of generation of standarized DOT forms directly from the system (e.g., offers letters, notices, agreements)</t>
  </si>
  <si>
    <t xml:space="preserve">Tab 7 Administrative – row 23</t>
  </si>
  <si>
    <t xml:space="preserve">Auto-fill capabilities from parcel or project data</t>
  </si>
  <si>
    <t xml:space="preserve">- The ROWMS must have functionality to generate multiple types of documents from manageable templates that are resident on the system from data entered in the system, pre-populated with available data, and ready for signatures; e.g., correspondence, closing instructions, offer letters, deeds, easements, agreements, leases, etc.</t>
  </si>
  <si>
    <t xml:space="preserve">BRD §6.1.7/§7.1 – Req 1198</t>
  </si>
  <si>
    <t xml:space="preserve">Ability to accept and provide users with pre-defined document templates to be added to process workflow. [table extract]</t>
  </si>
  <si>
    <t xml:space="preserve">Tab 1 General – row 30</t>
  </si>
  <si>
    <t xml:space="preserve">The solution shall allow users to generate and edit mailing labels in formats as, but not limited to: Portable Document Format (PDF), HyerText Markup Language (HTML), Excel spreadsheet file (XLS) &amp; Comma Separated Values (CSV.) \</t>
  </si>
  <si>
    <t xml:space="preserve">Tab 2 ROW Agent – row 42</t>
  </si>
  <si>
    <t xml:space="preserve">The system will generate mail-merge documents or form letters by parcel status or group.</t>
  </si>
  <si>
    <t xml:space="preserve">Tab 3 Survey – row 12</t>
  </si>
  <si>
    <t xml:space="preserve">Autopopulate notification letters, mail merge, address labels, etc.</t>
  </si>
  <si>
    <t xml:space="preserve">Tab 7 Administrative – row 24</t>
  </si>
  <si>
    <t xml:space="preserve">Mail merge features for bulk commmunication to landowners or stakeholders</t>
  </si>
  <si>
    <t xml:space="preserve">Tab 7 Administrative – row 39</t>
  </si>
  <si>
    <t xml:space="preserve">Tools to prepare and print mailing labels</t>
  </si>
  <si>
    <t xml:space="preserve">Tab 7 Administrative – row 40</t>
  </si>
  <si>
    <t xml:space="preserve">Batch print capability for notices or letters</t>
  </si>
  <si>
    <t xml:space="preserve">Tab 7 Administrative – row 41</t>
  </si>
  <si>
    <t xml:space="preserve">Optional integration with certified mail tracking</t>
  </si>
  <si>
    <t xml:space="preserve">Tab 1 General – row 40</t>
  </si>
  <si>
    <t xml:space="preserve">The solution shall have the ability to create standard templates</t>
  </si>
  <si>
    <t xml:space="preserve">Tab 1 General – row 41</t>
  </si>
  <si>
    <t xml:space="preserve">The solution shall have the ability to create forms</t>
  </si>
  <si>
    <t xml:space="preserve">- The ROWMS must allow users to add new forms and documents into the system that must become standard available forms/documents for use by Users.</t>
  </si>
  <si>
    <t xml:space="preserve">Tab 1 General – row 5</t>
  </si>
  <si>
    <t xml:space="preserve">The solution shall support the ability to accept electronically signed documents</t>
  </si>
  <si>
    <t xml:space="preserve">Tab 1 General – row 47</t>
  </si>
  <si>
    <t xml:space="preserve">The systeam shall integrate with ipad technologies to allow for electronic signatures when meeting in person.</t>
  </si>
  <si>
    <t xml:space="preserve">Tab 2 ROW Agent – row 26</t>
  </si>
  <si>
    <t xml:space="preserve">The system will store signed acknowledgements, notices of intent, and deeds in a structured, viewable, searchable format and connect with tablets that allow for work and signatures with the owners with email capabilities</t>
  </si>
  <si>
    <t xml:space="preserve">Tab 1 General – row 15</t>
  </si>
  <si>
    <t xml:space="preserve">The solution shall have the ability to accept electronically signed documents</t>
  </si>
  <si>
    <t xml:space="preserve">BRD §6.1.7/§7.1 – Req 1201</t>
  </si>
  <si>
    <t xml:space="preserve">Ability to electronically sign or authorize documents. [table extract]</t>
  </si>
  <si>
    <t xml:space="preserve">BRD §6.1.7/§7.1 – Req 1205</t>
  </si>
  <si>
    <t xml:space="preserve">Ability to support multiple electronic signatures and digital certificates. [table extract]</t>
  </si>
  <si>
    <t xml:space="preserve">Tab 8 Rail &amp; Transit – row 12</t>
  </si>
  <si>
    <t xml:space="preserve">Tab 6 Property Mgmt – row 26</t>
  </si>
  <si>
    <t xml:space="preserve">The system shall provide an integrated mapping component or GIS interface to visualize property boundaries, project areas, or ROW limits.</t>
  </si>
  <si>
    <t xml:space="preserve">Tab 4 Land Titles – row 13</t>
  </si>
  <si>
    <t xml:space="preserve">The system will support GIS integration so users can visualize parcel boundaries, rights, and encumbrances directly on a map.</t>
  </si>
  <si>
    <t xml:space="preserve">Tab 4 Land Titles – row 15</t>
  </si>
  <si>
    <t xml:space="preserve">The system shall enable authorized users to enter parcel information to be surfaced GIS search.</t>
  </si>
  <si>
    <t xml:space="preserve">Tab 8 Rail &amp; Transit – row 22</t>
  </si>
  <si>
    <t xml:space="preserve">The system shall enable authorized users to enter parcel information to be surface GIS searched.</t>
  </si>
  <si>
    <t xml:space="preserve">- The ROWMS may have functionality to integrate and interface with ITD GIS-ESRI’s environment to support viewing of ROW parcels in the inventory based on User-defined search criteria with ability for an authorized User to drill down into inventory information within the application.</t>
  </si>
  <si>
    <t xml:space="preserve">• Display ROW locations and related data on interactive maps.</t>
  </si>
  <si>
    <t xml:space="preserve">• The system shall be GIS capable, i.e., the solution must support spatial representation of the road network and inventory items with the ability to add, update, delete/retire and query via both spatial and tabular interfaces.</t>
  </si>
  <si>
    <t xml:space="preserve">• Spatial Data Management: Integration with a GIS (Geographic Information System) platform to visualize and analyze up to date ROW data spatially. Support for querying and displaying ROW data on a map with different layers.</t>
  </si>
  <si>
    <t xml:space="preserve">• Spatial Data: Geographic coordinates, polygons representing ROW boundaries and easements.</t>
  </si>
  <si>
    <t xml:space="preserve">BRD §6.1.7/§7.1 – Req 1016</t>
  </si>
  <si>
    <t xml:space="preserve">Ability to interface with existing County provided ArcGIS platform for a graphical view of all maintenance, real estate and right of way activities and a fully configurable search feature. [table extract]</t>
  </si>
  <si>
    <t xml:space="preserve">BRD §6.1.7/§7.1 – Req 1.19</t>
  </si>
  <si>
    <t xml:space="preserve">Ability to provide a map interface, allowing the user to view Right of Way, search, pan, zoom, locate, measure distances, and view Right of Way attributes from the GIS. [table extract]</t>
  </si>
  <si>
    <t xml:space="preserve">City of Detroit RFP 185263</t>
  </si>
  <si>
    <t xml:space="preserve">§2 Statement of Work</t>
  </si>
  <si>
    <t xml:space="preserve">RFP – stated expectation (no priority given)</t>
  </si>
  <si>
    <t xml:space="preserve">• Data system or data exports integrate easily with ESRI products including feature services.</t>
  </si>
  <si>
    <t xml:space="preserve">- Map Tool Integration: Describe the solution’s capabilities to integrate with mapping tools.</t>
  </si>
  <si>
    <t xml:space="preserve">• Integrate with Esri Roads and Highways with an advanced linear referencing system via REST APIs provided by Esri.</t>
  </si>
  <si>
    <t xml:space="preserve">Tab 2 ROW Agent – row 36</t>
  </si>
  <si>
    <t xml:space="preserve">Acquisition status shall be visualized spatially - e.g., color- coded by stage or parcel status.</t>
  </si>
  <si>
    <t xml:space="preserve">Tab 2 ROW Agent – row 37</t>
  </si>
  <si>
    <t xml:space="preserve">The system shall provide GIS acquisition record plan, with color coordinated parcels.</t>
  </si>
  <si>
    <t xml:space="preserve">Tab 6 Property Mgmt – row 27</t>
  </si>
  <si>
    <t xml:space="preserve">The system will enable parcels to be color-coded or filtered by status (e.g., leased, available for disposal in acquisition).</t>
  </si>
  <si>
    <t xml:space="preserve">Tab 8 Rail &amp; Transit – row 16</t>
  </si>
  <si>
    <t xml:space="preserve">Tab 8 Rail &amp; Transit – row 17</t>
  </si>
  <si>
    <t xml:space="preserve">Tab 2 ROW Agent – row 38</t>
  </si>
  <si>
    <t xml:space="preserve">Optional / High</t>
  </si>
  <si>
    <t xml:space="preserve">The system will overlay appraisal, environmental, or utility data to inform acquisition strategy.</t>
  </si>
  <si>
    <t xml:space="preserve">Tab 2 ROW Agent – row 33</t>
  </si>
  <si>
    <t xml:space="preserve">The system shall allow overlaying of historical showing previous impacts and locations - GIS.</t>
  </si>
  <si>
    <t xml:space="preserve">Tab 6 Property Mgmt – row 28</t>
  </si>
  <si>
    <t xml:space="preserve">The system will overlay utility corridors, environmental constraints, or planned transportation projects.</t>
  </si>
  <si>
    <t xml:space="preserve">Tab 4 Land Titles – row 14</t>
  </si>
  <si>
    <t xml:space="preserve">The system will enable users to overlay historical parcel data or title changes over time.</t>
  </si>
  <si>
    <t xml:space="preserve">Tab 8 Rail &amp; Transit – row 21</t>
  </si>
  <si>
    <t xml:space="preserve">Tab 8 Rail &amp; Transit – row 28</t>
  </si>
  <si>
    <t xml:space="preserve">Google Maps</t>
  </si>
  <si>
    <t xml:space="preserve">Tab 8 Rail &amp; Transit – row 29</t>
  </si>
  <si>
    <t xml:space="preserve">Google Earth Pro</t>
  </si>
  <si>
    <t xml:space="preserve">Tab 3 Survey – row 8</t>
  </si>
  <si>
    <t xml:space="preserve">The system shall integrate (pull data from) with NH state GIS layers and DOT basemaps.</t>
  </si>
  <si>
    <t xml:space="preserve">Tab 4 Land Titles – row 29</t>
  </si>
  <si>
    <t xml:space="preserve">The system will integrate with the state GIS systems or external title vendors.</t>
  </si>
  <si>
    <t xml:space="preserve">Tab 8 Rail &amp; Transit – row 18</t>
  </si>
  <si>
    <t xml:space="preserve">Tab 8 Rail &amp; Transit – row 23</t>
  </si>
  <si>
    <t xml:space="preserve">RFP – stated expectation (no priority given) → set to M</t>
  </si>
  <si>
    <t xml:space="preserve">• Any location-based data or platform utilizes the City's Base Units geocoder, Base Units Database, and/or address data standards as applicable. For more information see: https://base-units-detroitmi.hub.arcgis. com/pages/about-base-units</t>
  </si>
  <si>
    <t xml:space="preserve">Tab 1 General – row 31</t>
  </si>
  <si>
    <t xml:space="preserve">The solution provides real-time system access to a flexible, user-friendly search capability that allows authorized users to search any or all records, using any or all, or any combination of fields in the database, including the use of wild cards. Access to the search capability needs to allow the state to limit which data fields users can search based on role privilege.</t>
  </si>
  <si>
    <t xml:space="preserve">Tab 2 ROW Agent – row 7</t>
  </si>
  <si>
    <t xml:space="preserve">Parcel &amp; Case Tracking system to be searchable. Example looking for land swaps in the historic uses.  Relocation of signs or to provide guidance and training of this process.</t>
  </si>
  <si>
    <t xml:space="preserve">- The ROWMS must have functionality to allow Users to search/capture/print in report format information based on various User-defined criteria, such as project, parcel number, parcel identification number, key number, segment code, milepost, status, county code, prior parcel identification numbers, owner, business, displacees, tenants, Section, Township, Range, Quarter, Quarter-Quarters.</t>
  </si>
  <si>
    <t xml:space="preserve">- The ROWMS must have functionality to provide authorized Users with the capability to perform a search within a result’s set.</t>
  </si>
  <si>
    <t xml:space="preserve">• Search &amp; Retrieval: Robust search functionality allowing users to find ROW records based on various criteria (e.g., parcel number, owner name, location, document type, date range).</t>
  </si>
  <si>
    <t xml:space="preserve">Tab 7 Administrative – row 20</t>
  </si>
  <si>
    <t xml:space="preserve">Ability to save frequently used searches</t>
  </si>
  <si>
    <t xml:space="preserve">- The ROWMS must have functionality to allow Users to save a filter.</t>
  </si>
  <si>
    <t xml:space="preserve">Tab 1 General – row 27</t>
  </si>
  <si>
    <t xml:space="preserve">The solution shall have the ability to review project status via a dashboard</t>
  </si>
  <si>
    <t xml:space="preserve">Tab 7 Administrative – row 48</t>
  </si>
  <si>
    <t xml:space="preserve">Role-specific dashboards tailored to clerical workflows</t>
  </si>
  <si>
    <t xml:space="preserve">Tab 8 Rail &amp; Transit – row 37</t>
  </si>
  <si>
    <t xml:space="preserve">dashboards</t>
  </si>
  <si>
    <t xml:space="preserve">- Provide a dashboard summarizing the status of ROW Acquisition activities for each project flagged (e.g., in a red, yellow, green format) based on User-defined variables for budget and schedule.</t>
  </si>
  <si>
    <t xml:space="preserve">- The ROWMS may have functionality to generate User defined dashboards and scorecard reports at the project level based on: Financial status and performance; Schedule Status and Performance; Issues; Project Risk Profile, Return on Investment (ROI).</t>
  </si>
  <si>
    <t xml:space="preserve">• An intuitive dashboard for monitoring task statuses, deadlines, and compliance.</t>
  </si>
  <si>
    <t xml:space="preserve">BRD §6.1.7/§7.1 – Req 1018</t>
  </si>
  <si>
    <t xml:space="preserve">Ability to provide dashboard capable of displaying user defined activities or events. It should be unlimited. [table extract]</t>
  </si>
  <si>
    <t xml:space="preserve">- reporting and analytics: Customizable reports and real-time dashboards;</t>
  </si>
  <si>
    <t xml:space="preserve">Smart ROW Features Matrix (DM1343 App. D)</t>
  </si>
  <si>
    <t xml:space="preserve">Features List – row 19</t>
  </si>
  <si>
    <t xml:space="preserve">Ability to set up configurable reports and data-dashboards</t>
  </si>
  <si>
    <t xml:space="preserve">Tab 9 Reports – row 13</t>
  </si>
  <si>
    <t xml:space="preserve">The system shall have the ability for complete and robust reporting capabilities</t>
  </si>
  <si>
    <t xml:space="preserve">- The ROWMS must have functionality to provide a robust ad-hoc query facility.</t>
  </si>
  <si>
    <t xml:space="preserve">App. A §3.2.5</t>
  </si>
  <si>
    <t xml:space="preserve">• Support user-defined ad-hoc query and reporting capabilities.</t>
  </si>
  <si>
    <t xml:space="preserve">• Provide robust look-up and reporting capabilities.</t>
  </si>
  <si>
    <t xml:space="preserve">• Reporting &amp; Analysis: Generate reports on ROW data, including summaries of ownership, acquisition status, and other relevant information. The ability to export data in various formats (e.g., CSV, Excel, PDF, Word).</t>
  </si>
  <si>
    <t xml:space="preserve">BRD §6.1.7/§7.1 – Req 1092</t>
  </si>
  <si>
    <t xml:space="preserve">Ability to add customized reports to the system report menu and modify the content and/or format of any standard report. [table extract]</t>
  </si>
  <si>
    <t xml:space="preserve">- Report Generation and Export: Describe the product’s capabilities in generating dynamic reports. This includes how these reports can be user-customized, and how they can be exported to email.</t>
  </si>
  <si>
    <t xml:space="preserve">§9 Management Reporting – Report Portal</t>
  </si>
  <si>
    <t xml:space="preserve">- The ROWMS must have functionality to provide Users with a personalized report portal that allows access to only those reports that the User is authorized to see consistent with ROWMS role-based security definitions.</t>
  </si>
  <si>
    <t xml:space="preserve">- The ROWMS must have functionality to allow the Users to schedule a report to run automatically if certain conditions (business rules) are met.</t>
  </si>
  <si>
    <t xml:space="preserve">- The ROWMS must have functionality to provide for report distribution based on events, process milestones, or predefined data thresholds or values, e.g., based on data values contained within the report (i.e., conditional operators &gt;, &lt;, =, etc.).</t>
  </si>
  <si>
    <t xml:space="preserve">Tab 1 General – row 12</t>
  </si>
  <si>
    <t xml:space="preserve">The solution shall be capable of producing real-time and historical reports/exports.</t>
  </si>
  <si>
    <t xml:space="preserve">- The ROWMS must have functionality to support export of query and report results in spreadsheet format (.xls or .xlsx) including formatting (text size, font, color, shading, graphics). Provide option to export data only or export data, headers, and any included graphics.</t>
  </si>
  <si>
    <t xml:space="preserve">• Support data export in multiple formats (CSV, PDF, etc.).</t>
  </si>
  <si>
    <t xml:space="preserve">- The ROWMS must have functionality to support creation of pie charts from the reporting tool.</t>
  </si>
  <si>
    <t xml:space="preserve">- The ROWMS must have functionality to support creation of gauges for dashboards.</t>
  </si>
  <si>
    <t xml:space="preserve">Tab 1 General – row 26</t>
  </si>
  <si>
    <t xml:space="preserve">The solution shall support tracking staff productivity and accuracy with the ability to export reports to evaluate the quantity and quality of work done by staff if the appropriate user role was assigned.</t>
  </si>
  <si>
    <t xml:space="preserve">Tab 7 Administrative – row 43</t>
  </si>
  <si>
    <t xml:space="preserve">Ability to generate clerical workload reports (e.g., how many documents processed types of correspondence sent)</t>
  </si>
  <si>
    <t xml:space="preserve">- The ROWMS must have functionality to support ability to create User-defined performance measures and have the ROWMS produce performance measure dashboards or reports (with below percentages being adjustable) Examples:</t>
  </si>
  <si>
    <t xml:space="preserve">• Provide real-time dashboards for key performance indicators (KPIs).</t>
  </si>
  <si>
    <t xml:space="preserve">§9 Management Reporting - Project Dashboarding / Data Reporting</t>
  </si>
  <si>
    <t xml:space="preserve">- The ROWMS must have functionality to enable the capability to perform comparisons of actual vs. planned costs with variance analysis, alerts, and rule-based notification.</t>
  </si>
  <si>
    <t xml:space="preserve">- The ROWMS must have functionality to enable the capability of project reporting/forecasting of EVA (earned value analysis).</t>
  </si>
  <si>
    <t xml:space="preserve">§9 Management Reporting - Estimating / Analytics</t>
  </si>
  <si>
    <t xml:space="preserve">- The ROWMS must have functionality to allow Users the capability for statistical analysis of historical data (e.g., trend analysis).</t>
  </si>
  <si>
    <t xml:space="preserve">Tab 9 Reports – row 12</t>
  </si>
  <si>
    <t xml:space="preserve">The system shall have the ability to report on project status of project management</t>
  </si>
  <si>
    <t xml:space="preserve">- The ROWMS must have functionality to generate a summarized Summary Master Schedule for each program of projects within ROWMS with one bar representing each approved project.</t>
  </si>
  <si>
    <t xml:space="preserve">- The ROWMS must have functionality to allow the Users to generate a project cost report showing all ROW-relevant charges on a project for a particular User-defined time period.</t>
  </si>
  <si>
    <t xml:space="preserve">- (E) The ROWMS may have functionality to allow the Users to generate summary cash flows by project by month, fiscal year, total project.</t>
  </si>
  <si>
    <t xml:space="preserve">| FHWA Annual Report | • Acquisitions required, completed, dates of clearance with title or possession or property rights vested in ITD, number of those completed Acquisitions that were condemnations, administrative settlements utilized to complete the Acquisition |</t>
  </si>
  <si>
    <t xml:space="preserve">| FHWA Annual ROW Statistics | • Total of amounts paid, deposited in court, or otherwise made available to owner, possession, completed Acquisitions per owner, per parcel, per project, per fiscal year. |</t>
  </si>
  <si>
    <t xml:space="preserve">Tab 9 Reports – row 8</t>
  </si>
  <si>
    <t xml:space="preserve">The system shall provide TITLE IV Reports: This will require survey data collected at Public Hearings and surveys being mailed directly to impacted owners.</t>
  </si>
  <si>
    <t xml:space="preserve">Tab 2 ROW Agent – row 45</t>
  </si>
  <si>
    <t xml:space="preserve">Join hearing survey data with FHWA Title 6.</t>
  </si>
  <si>
    <t xml:space="preserve">Tab 7 Administrative – row 7</t>
  </si>
  <si>
    <t xml:space="preserve">The system shall have the ability for federal compliance audits, all data must be retrievable- in one, integrated report. (e.g., Title VI)</t>
  </si>
  <si>
    <t xml:space="preserve">- The ROWMS must have functionality to allow the Users to create the Title VI Civil Rights Review Quarterly report including the project number, parcel number, name of owners, whether it was an Acquisition or relocation, and whether the impacted parties are minority and/or female head of household, DBE, requiring special accommodation such as ASL or other interpreter.</t>
  </si>
  <si>
    <t xml:space="preserve">Tab 9 Reports – row 10</t>
  </si>
  <si>
    <t xml:space="preserve">The system will be able to generate reports needed by the IRS 1099 Report</t>
  </si>
  <si>
    <t xml:space="preserve">Tab 9 Reports – row 14</t>
  </si>
  <si>
    <t xml:space="preserve">The system shall have the ability to create municiple tax reports</t>
  </si>
  <si>
    <t xml:space="preserve">Tab 9 Reports – row 15</t>
  </si>
  <si>
    <t xml:space="preserve">The system shall have the ability to create year end status reports.</t>
  </si>
  <si>
    <t xml:space="preserve">- The ROWMS may have functionality to allow the Users to produce 1099-S tax form for taxable Acquisition payments via integration with FS (upon integration with our financial system (CGI Advantage)), if required.</t>
  </si>
  <si>
    <t xml:space="preserve">Tab 9 Reports – row 3</t>
  </si>
  <si>
    <t xml:space="preserve">The system shall have reporting capabilities by acquistion type such as (full acqusition, permanent easements, temporary easesments, relocation status for private and business) WAIVERS</t>
  </si>
  <si>
    <t xml:space="preserve">Tab 9 Reports – row 4</t>
  </si>
  <si>
    <t xml:space="preserve">The system shall have reporting capabilities by number if parcels abstracted, ROW plan Request/Levels, exisiting  and proposed ROW layout Plan assignments, appraisals &amp; waivers completed, acquisitions, condemnations, relocations , ROW certificates issued, surplus parcels created, surplus properties available for a specific time period that is selected</t>
  </si>
  <si>
    <t xml:space="preserve">Tab 2 ROW Agent – row 46</t>
  </si>
  <si>
    <t xml:space="preserve">The system shall provide reports generated per agent for assignments - need same report for just one project</t>
  </si>
  <si>
    <t xml:space="preserve">Tab 9 Reports – row 22</t>
  </si>
  <si>
    <t xml:space="preserve">Report generated per agent for assignments - need same report for just one project</t>
  </si>
  <si>
    <t xml:space="preserve">| Project / Parcel Status | Appraisal Status, Reviewer Status, Date Offer Mailed, ROW Contract Date, Closed Date, Possession Date, Notes, Construction Dates |</t>
  </si>
  <si>
    <t xml:space="preserve">BRD §6.1.7/§7.1 – Req 1177</t>
  </si>
  <si>
    <t xml:space="preserve">Ability to generate reports that include status of all active acquisitions and status in the workflow. [table extract]</t>
  </si>
  <si>
    <t xml:space="preserve">| Garvee/Bonding Reports | Required project Acquisitions, per parcel, projected clearance date, actual clearance date, area of Acquisition, type of Acquisitions, ROW Certification date |</t>
  </si>
  <si>
    <t xml:space="preserve">| Escrow Officers / Title Officers / Title Companies | • Current list of all escrow officers, title officers, title companies being utilized by ITD, contact information, per project |</t>
  </si>
  <si>
    <t xml:space="preserve">| Historical | Generate a history report of data by district, by highway, by Key number, by section, township, range, Q, QQ, etc., to include project descriptions, project identification, parcel identification, deeds, easements, etc. | #</t>
  </si>
  <si>
    <t xml:space="preserve">- The Contractor must provide a solution with read-only access to data via Open Database Connectivity (ODBC) with appropriate security.</t>
  </si>
  <si>
    <t xml:space="preserve">- The ROWMS must have functionality to provide an entity relationship diagram(s) to support development of end-User reports.</t>
  </si>
  <si>
    <t xml:space="preserve">- The ROWMS must have functionality to support the ability to join ROWMS data with external data sources.</t>
  </si>
  <si>
    <t xml:space="preserve">Tab 1 General – row 32</t>
  </si>
  <si>
    <t xml:space="preserve">The solution shall allow export and import common data formatted files, in addition to, but not limited to, Extensible Markup Language(. XML),Excel Open Xml Spreadsheet (.XLSX), .CSV, Text File(.TXT) format. The export and import workflow and mapping must be configurable by the user based on security roles.</t>
  </si>
  <si>
    <t xml:space="preserve">• Data Import/Export: Ability to import existing ROW data from various sources and export data to other systems.</t>
  </si>
  <si>
    <t xml:space="preserve">BRD §6.1.7/§7.1 – Req 1003</t>
  </si>
  <si>
    <t xml:space="preserve">Ability to export any system data including, but not limited to Excel, CSV, TXT, and other formats. [table extract]</t>
  </si>
  <si>
    <t xml:space="preserve">Tab 4 Land Titles – row 32</t>
  </si>
  <si>
    <t xml:space="preserve">Existing title records and parcel data shall be migrated into the new system.</t>
  </si>
  <si>
    <t xml:space="preserve">Tab 6 Property Mgmt – row 32</t>
  </si>
  <si>
    <t xml:space="preserve">The system shall have the ability to export existing database of property owners, project and parcel data into the new system (Data migration)</t>
  </si>
  <si>
    <t xml:space="preserve">§9 Project Management and Implementation</t>
  </si>
  <si>
    <t xml:space="preserve">- The Contractor must convert and migrate all the data from ITD’s current database system to the new ROWMS to include all comments, notes, and attachments, and perform data validation.</t>
  </si>
  <si>
    <t xml:space="preserve">Scope – VI. Key Deliverables</t>
  </si>
  <si>
    <t xml:space="preserve">• Data Migration: A detailed plan for the process to migrate and import data into the proposed solution from the customers’ existing solution that is being replaced, including data validation, cleansing, and transformation.</t>
  </si>
  <si>
    <t xml:space="preserve">6. Migrate legacy data Project Details Vendor shall provide, at a minimum, the following services:</t>
  </si>
  <si>
    <t xml:space="preserve">Tab 7 Administrative – row 27</t>
  </si>
  <si>
    <t xml:space="preserve">Streamlined data entry forms with drop-downs, auto-suggestions, and field validation</t>
  </si>
  <si>
    <t xml:space="preserve">Tab 7 Administrative – row 28</t>
  </si>
  <si>
    <t xml:space="preserve">Ability to flag missing, inconsistent, or duplicate information</t>
  </si>
  <si>
    <t xml:space="preserve">Tab 1 General – row 9</t>
  </si>
  <si>
    <t xml:space="preserve">The solution allows data to persist from one screen to another when data fields are the same, so that the user does not have to do the same data entry on multiple screens.</t>
  </si>
  <si>
    <t xml:space="preserve">§9 Data Integrity</t>
  </si>
  <si>
    <t xml:space="preserve">- The ROWMS must provide proper and extensive data validation upon data entry to retain data integrity within the ROWMS.</t>
  </si>
  <si>
    <t xml:space="preserve">• Data Validation: Implement data validation rules to ensure data accuracy and consistency (e.g., required fields, data type checks, range checks, spatial integrity checks).</t>
  </si>
  <si>
    <t xml:space="preserve">Tab 1 General – row 10</t>
  </si>
  <si>
    <t xml:space="preserve">The solution must keep all data changes synchronized in real time.</t>
  </si>
  <si>
    <t xml:space="preserve">- The ROWMS shall assign unique identifiers to ROWMS transactions to facilitate administration, project management, usage tracking, and auditing functions.</t>
  </si>
  <si>
    <t xml:space="preserve">• System or platform has the capacity to store field-level metadata and display it in the user interface when appropriate</t>
  </si>
  <si>
    <t xml:space="preserve">Tab 1 General – row 22</t>
  </si>
  <si>
    <t xml:space="preserve">The solution shall have the ability to archive the audit data</t>
  </si>
  <si>
    <t xml:space="preserve">§9 Data Storage &amp; Management</t>
  </si>
  <si>
    <t xml:space="preserve">- The ROWMS must retain all historical data (ROW transactional data) during the life of the Contract. Data Storage &amp; Management The ROWMS must monitor ROWMS utilization and resource usage in real time and alert ITD when predetermined data thresholds are met. The ROWMS must provide ITD with access to real-time metrics to current ROWMS utiliza …</t>
  </si>
  <si>
    <t xml:space="preserve">City of Regina RFI 25-00072</t>
  </si>
  <si>
    <t xml:space="preserve">§4 Required features – Data and Governance</t>
  </si>
  <si>
    <t xml:space="preserve">RFI – 'Required software features'</t>
  </si>
  <si>
    <t xml:space="preserve">o Records can be completely removed from the system once they have met their retention period.</t>
  </si>
  <si>
    <t xml:space="preserve">Tab 1 General – row 42</t>
  </si>
  <si>
    <t xml:space="preserve">The solution shall have the ability to meet Right To Know requests</t>
  </si>
  <si>
    <t xml:space="preserve">• Ability to query the system to obtain information responsive to Public Disclosure Requests and other property inquiries.</t>
  </si>
  <si>
    <t xml:space="preserve">Tab 4 Land Titles – row 30</t>
  </si>
  <si>
    <t xml:space="preserve">The system will provide API's available for document import/export or third-party tool integration.</t>
  </si>
  <si>
    <t xml:space="preserve">§9 Application Programming Interface (API)</t>
  </si>
  <si>
    <t xml:space="preserve">- The ROWMS must import/export of ITD bulk data via API.</t>
  </si>
  <si>
    <t xml:space="preserve">• Integrate with Geographic Information Systems (GIS) and potentially other NMDOT information systems via standard methodologies such as REST APIs.</t>
  </si>
  <si>
    <t xml:space="preserve">• The system must allow access to other WSDOT databases via APIs (or similar tools) in order to allow data to move between systems.</t>
  </si>
  <si>
    <t xml:space="preserve">• Access to any data via APIs in a machine-readable format.</t>
  </si>
  <si>
    <t xml:space="preserve">• Full documentation of APIs (including field names and objects) and the database schema used by the application.</t>
  </si>
  <si>
    <t xml:space="preserve">• Ability for City to push data as needed to these software systems to update base datasets.</t>
  </si>
  <si>
    <t xml:space="preserve">RFP – stated expectation (no priority given) → set to S</t>
  </si>
  <si>
    <t xml:space="preserve">• API is able to provide data in a JSON format.</t>
  </si>
  <si>
    <t xml:space="preserve">- Integration Capabilities: What are the out-of-the-box integration options. Describe the native APIs that can seamlessly integrate with other applications/databases.</t>
  </si>
  <si>
    <t xml:space="preserve">§9 Identity Requirements</t>
  </si>
  <si>
    <t xml:space="preserve">- SAML support,</t>
  </si>
  <si>
    <t xml:space="preserve">• Single sign-on (SSO) capable.</t>
  </si>
  <si>
    <t xml:space="preserve">• The system shall allow for the use of Active Directory Federation Services (or similar tools) for single-sign-in user authentication.</t>
  </si>
  <si>
    <t xml:space="preserve">BRD §6.1.7/§7.1 – Req 1020</t>
  </si>
  <si>
    <t xml:space="preserve">Identity: Ability to integrate with Azure Active Directory for SSO (Single Sign On), Identity Access Management and Role Based Access Control. [table extract]</t>
  </si>
  <si>
    <t xml:space="preserve">BRD §6.1.7/§7.1 – Req 1004</t>
  </si>
  <si>
    <t xml:space="preserve">It must be possible to provide access to the system to outside agencies that provide external user accounts that are not part of the county's Active Directory login accounts. [table extract]</t>
  </si>
  <si>
    <t xml:space="preserve">- Authentication and SSO: Describe if the solution supports multi-factor authentication (MFA) and SSO (single sign-on). Indicate whether or not integration with the Azure-based myID authentication service is readily facilitated.</t>
  </si>
  <si>
    <t xml:space="preserve">Features List – row 16</t>
  </si>
  <si>
    <t xml:space="preserve">Ability to implement Single Sign-on for public users per City's guidance and policies</t>
  </si>
  <si>
    <t xml:space="preserve">Tab 8 Rail &amp; Transit – row 32</t>
  </si>
  <si>
    <t xml:space="preserve">The system will integrate with existing NHDOT systems and/or provide interactive systems.</t>
  </si>
  <si>
    <t xml:space="preserve">Tab 6 Property Mgmt – row 30</t>
  </si>
  <si>
    <t xml:space="preserve">The system shall integrate with our existing GIS, permitting, financial, acquisition and appraisal platforms.</t>
  </si>
  <si>
    <t xml:space="preserve">Tab 8 Rail &amp; Transit – row 3</t>
  </si>
  <si>
    <t xml:space="preserve">Must integrate with existing DOT tools such as GIS/mapping platforms, Parcel databases, finance and project tracking tools (see Software interactivity/integration)</t>
  </si>
  <si>
    <t xml:space="preserve">BRD §6.1.7/§7.1 – Req 1024</t>
  </si>
  <si>
    <t xml:space="preserve">Interoperability: The solution should be able to integrate with other cloud hosted and on premises systems and tools used by the organization, not limited to CRMs, ERPs, reporting and data warehouses. [table extract]</t>
  </si>
  <si>
    <t xml:space="preserve">Features List – row 18</t>
  </si>
  <si>
    <t xml:space="preserve">Ability to integrate with Cityworks and other City applications used by the Streets Department and its partners.</t>
  </si>
  <si>
    <t xml:space="preserve">Tab 1 General – row 46</t>
  </si>
  <si>
    <t xml:space="preserve">The system shall have the ability to set up user profiles and access by permissions</t>
  </si>
  <si>
    <t xml:space="preserve">Tab 7 Administrative – row 33</t>
  </si>
  <si>
    <t xml:space="preserve">User roles/group and permissions to manage who sees/does what</t>
  </si>
  <si>
    <t xml:space="preserve">§9 Authorization and Role Management</t>
  </si>
  <si>
    <t xml:space="preserve">- (ME) The ROWMS must have role-based access control to manage and configure User Groups and role permissions for different access levels within the ROWMS, such as read only, read/write, and full administrative permissions and interface with ITD’s active directory accounts. The Contractor must configure the ROWMS with least privilege file and account access and provide documentation of …</t>
  </si>
  <si>
    <t xml:space="preserve">• The system must support Role-based Access Control (RBAC), which provides multiple user roles with varying levels of access.</t>
  </si>
  <si>
    <t xml:space="preserve">Scope – B. User Management &amp; Security</t>
  </si>
  <si>
    <t xml:space="preserve">• User Roles &amp; Permissions: Define different user roles with varying levels of access to the database. Implement role-based access control to restrict access to sensitive data.</t>
  </si>
  <si>
    <t xml:space="preserve">BRD §6.1.7/§7.1 – Req 1033</t>
  </si>
  <si>
    <t xml:space="preserve">Ability to use RBAC (Role-Based Access Control) [table extract]</t>
  </si>
  <si>
    <t xml:space="preserve">- User Access and Role Management: Describe the user access management of the product; for both internal and external users. Include the ability to assign access levels to different user types, the flexibility to create and modify user roles with specific permissions. Include any additional security measures in place to ensure secure access for all users.</t>
  </si>
  <si>
    <t xml:space="preserve">- Security and Governance: Ability to maintain and administer security, policy and governance details.</t>
  </si>
  <si>
    <t xml:space="preserve">Features List – row 15</t>
  </si>
  <si>
    <t xml:space="preserve">Role Based Access for City employees &amp; its partners</t>
  </si>
  <si>
    <t xml:space="preserve">- The ROWMS must have functionality to allow the Users to allow viewing of rows and/or columns within the report to be restricted based on User's role (e.g., the User can only view data for his or her business unit, etc.).</t>
  </si>
  <si>
    <t xml:space="preserve">Tab 1 General – row 21</t>
  </si>
  <si>
    <t xml:space="preserve">The solution must maintain an audit log tracking all actions bu</t>
  </si>
  <si>
    <t xml:space="preserve">Tab 1 General – row 23</t>
  </si>
  <si>
    <t xml:space="preserve">The solution audit log must contain what data was changed (maintaining record of the “before” and “after” data), the identity of the user who changed the data, time and date stamp.</t>
  </si>
  <si>
    <t xml:space="preserve">Tab 7 Administrative – row 44</t>
  </si>
  <si>
    <t xml:space="preserve">Audit trails showing who edited or accessed documents and when</t>
  </si>
  <si>
    <t xml:space="preserve">Tab 4 Land Titles – row 24</t>
  </si>
  <si>
    <t xml:space="preserve">The system will produce an audit trail showing who accessed or modified title-related documents and when they were accessed or modified.</t>
  </si>
  <si>
    <t xml:space="preserve">§9 Audit Logging and Monitoring</t>
  </si>
  <si>
    <t xml:space="preserve">- The ROWMS must capture Username, User ID, time stamp, success/failure of the transaction, originating IP address, and transaction description in the security log Event.</t>
  </si>
  <si>
    <t xml:space="preserve">• Support audit trails for task history and document changes.</t>
  </si>
  <si>
    <t xml:space="preserve">• Audit Trail: Maintain an audit trail of all data changes, including who made the changes and when.</t>
  </si>
  <si>
    <t xml:space="preserve">BRD §6.1.7/§7.1 – Req 1015</t>
  </si>
  <si>
    <t xml:space="preserve">Ability to create log or record transaction for every change made to system database (i.e., audit log). County IT must be able to access audit log at all times. [table extract]</t>
  </si>
  <si>
    <t xml:space="preserve">- Audit Trail: Describe how the solution provides an auditable history of activity for each permit application record.</t>
  </si>
  <si>
    <t xml:space="preserve">§4 Optional features – Data and Governance</t>
  </si>
  <si>
    <t xml:space="preserve">RFI – 'Optional software features'</t>
  </si>
  <si>
    <t xml:space="preserve">o Ability to audit user accounts.</t>
  </si>
  <si>
    <t xml:space="preserve">Tab 1 General – row 37</t>
  </si>
  <si>
    <t xml:space="preserve">The solution shall have the ability to audit ALL project documents</t>
  </si>
  <si>
    <t xml:space="preserve">Tab 1 General – row 38</t>
  </si>
  <si>
    <t xml:space="preserve">The solution must have the ability to audit project documents regardless of status</t>
  </si>
  <si>
    <t xml:space="preserve">Tab 1 General – row 17</t>
  </si>
  <si>
    <t xml:space="preserve">The solution shall be fully auditable and must comply with National Institute of Standards and Technology Security and Privacy (NIST SP) 800-53 AU Control Family.
Link: https://csrc.nist.gov/publications/detail/sp/800-53/rev-5/final</t>
  </si>
  <si>
    <t xml:space="preserve">Tab 1 General – row 18</t>
  </si>
  <si>
    <t xml:space="preserve">The solution must be able to communicate with external organizations. The solution must meet or exceed NIST SP 800-53 SC Control Family. 
Link: https://csrc.nist.gov/publications/detail/sp/800-53/rev-5/final</t>
  </si>
  <si>
    <t xml:space="preserve">§9 Data Center</t>
  </si>
  <si>
    <t xml:space="preserve">- The ROWMS must encrypt PII and other sensitive data types during transmission, use, and at rest.</t>
  </si>
  <si>
    <t xml:space="preserve">App. A §3.2.7</t>
  </si>
  <si>
    <t xml:space="preserve">• Ensure data encryption, role-based access control, and audit logs.</t>
  </si>
  <si>
    <t xml:space="preserve">BRD §6.1.7/§7.1 – Req 1038</t>
  </si>
  <si>
    <t xml:space="preserve">Data must be encrypted in transit using industry-standard, NIST (National Institute of Standards and Technology) approved encryption [table extract]</t>
  </si>
  <si>
    <t xml:space="preserve">BRD §6.1.7/§7.1 – Req 1039</t>
  </si>
  <si>
    <t xml:space="preserve">Sensitive data must be encrypted at rest using industry standard, NIST approved encryption [table extract]</t>
  </si>
  <si>
    <t xml:space="preserve">- Security Control: What security controls (preventive and detective) exist to assure that only authorized users can change content, and prevent from unauthorized access. Describe the security controls in place for the proposed solution (e.g., anti-malware solution, host-intrusion detection, endpoint detection response, etc.).</t>
  </si>
  <si>
    <t xml:space="preserve">- The ROWMS must adhere to NIST and CIS security policies and industry best practices.</t>
  </si>
  <si>
    <t xml:space="preserve">Scope – V. Technology Requirements</t>
  </si>
  <si>
    <t xml:space="preserve">• FedRAMP or TX-RAMP Authorized</t>
  </si>
  <si>
    <t xml:space="preserve">BRD §6.1.7/§7.1 – Req 1042</t>
  </si>
  <si>
    <t xml:space="preserve">Vendor should follow a security standard, such as ISO-27K series (ISO-27001, ISO-27002, ISO-27017, ISO-27018); NIST Cybersecurity Framework, or Center for Internet Security (CIS) Critical Security Controls [table extract]</t>
  </si>
  <si>
    <t xml:space="preserve">BRD §6.1.7/§7.1 – Req 1043</t>
  </si>
  <si>
    <t xml:space="preserve">Vendor should provide a copy of their Security Operations Center (SOC2) report once a year [table extract]</t>
  </si>
  <si>
    <t xml:space="preserve">§9 Authentication and Password Management</t>
  </si>
  <si>
    <t xml:space="preserve">- Must lockout User accounts after a maximum of five (5) failed authentication attempts within fifteen (15) minute period.</t>
  </si>
  <si>
    <t xml:space="preserve">- The ROWMS must provide configurable session management for all Users including the following:</t>
  </si>
  <si>
    <t xml:space="preserve">• Authentication &amp; Authorization: Secure user authentication and authorization mechanisms to protect the database from unauthorized access.</t>
  </si>
  <si>
    <t xml:space="preserve">- The Contractor must host the ROWMS, including all software, hardware, and servers’ components within the contiguous borders of the United States.</t>
  </si>
  <si>
    <t xml:space="preserve">• Implement a secure, scalable, and cost-effective Cloud-based or Software-as- a-Service (SaaS) application. The solution may be Commercial off-the-shelf software (COTS) or a custom-developed system.</t>
  </si>
  <si>
    <t xml:space="preserve">… The new software system will need to comply with the Washington State Office of Chief Information Officer (OCIO) Policy 184, which stipulates that this software solution must be hosted either by a third-party vendor or in a cloud environment. Additionally, any software Request for Information (RFI) solution must also meet the cybersecurity requirements of the Agency which are addressed during a security design review prior to any solution being implemented should WSDOT proceed with an RFP following this RFI. P …</t>
  </si>
  <si>
    <t xml:space="preserve">• Software as a Service (SaaS)</t>
  </si>
  <si>
    <t xml:space="preserve">BRD §6.1.7/§7.1 – Req 1001</t>
  </si>
  <si>
    <t xml:space="preserve">Ability to provide Software as a Service (SaaS) Cloud solution as a single production instance and non-production instance (single tenant), not shared with any other entity. [table extract]</t>
  </si>
  <si>
    <t xml:space="preserve">BRD §6.1.7/§7.1 – Req 1035</t>
  </si>
  <si>
    <t xml:space="preserve">Data and data centers must be stored with the USA [table extract]</t>
  </si>
  <si>
    <t xml:space="preserve">§9 Disaster Recovery</t>
  </si>
  <si>
    <t xml:space="preserve">- The ROWMS RTO must be less than twenty-four (24) hours, which means the ROWMS must be up and running within twenty-four (24) hours.</t>
  </si>
  <si>
    <t xml:space="preserve">• Support disaster recovery and data backup strategies.</t>
  </si>
  <si>
    <t xml:space="preserve">Scope – C. System Administration</t>
  </si>
  <si>
    <t xml:space="preserve">• Database Backup &amp; Recovery: Regular database backups and a disaster recovery plan to ensure data availability.</t>
  </si>
  <si>
    <t xml:space="preserve">BRD §6.1.7/§7.1 – Req 1028</t>
  </si>
  <si>
    <t xml:space="preserve">Disaster Recovery: The solution should have disaster recovery measures in place to ensure business continuity in the event of a system failure or outage. [table extract]</t>
  </si>
  <si>
    <t xml:space="preserve">BRD §6.1.7/§7.1 – Req 1036</t>
  </si>
  <si>
    <t xml:space="preserve">Data must be stored at multiple data centers in different regions for disaster recovery purposes [table extract]</t>
  </si>
  <si>
    <t xml:space="preserve">Tab 1 General – row 13</t>
  </si>
  <si>
    <t xml:space="preserve">The solution shall be scalable based on the demand of the program.</t>
  </si>
  <si>
    <t xml:space="preserve">Tab 1 General – row 25</t>
  </si>
  <si>
    <t xml:space="preserve">The solution must allow an unlimited amount of users as are required for the application. The set number of users shall be designated by the state and may be modified at any time.</t>
  </si>
  <si>
    <t xml:space="preserve">§9 ROWMS Maintenance and Incident Response</t>
  </si>
  <si>
    <t xml:space="preserve">- The ROWMS uptime must be at least ninety-nine-point nine percent (99.9%), excluding agreed-upon planned downtime.</t>
  </si>
  <si>
    <t xml:space="preserve">- The ROWMS must accommodate a minimum of two hundred and fifty (250) concurrent Users (internal and external, actual Users and read-only Users) with an estimated increase of five percent (5%) annually and must be scalable to accommodate a larger number of concurrent Users as requested by ITD. Provide the pricing information using the Table one (1) of the RFP Attachment 5, Cost Proposal.</t>
  </si>
  <si>
    <t xml:space="preserve">Scope – III. Non-Functional Requirements</t>
  </si>
  <si>
    <t xml:space="preserve">RFQ – 'should' (non-functional list)</t>
  </si>
  <si>
    <t xml:space="preserve">• Scalability: The system should be scalable to accommodate future growth in data volume and user base.</t>
  </si>
  <si>
    <t xml:space="preserve">• Performance: The system should be responsive and provide quick access to data.</t>
  </si>
  <si>
    <t xml:space="preserve">• Reliability: The system should be reliable and available with minimal downtime.</t>
  </si>
  <si>
    <t xml:space="preserve">BRD §6.1.7/§7.1 – Req 1022</t>
  </si>
  <si>
    <t xml:space="preserve">High Availability: The solution should be highly available with minimal downtime to ensure that users can access the software whenever they need it (99.99%). [table extract]</t>
  </si>
  <si>
    <t xml:space="preserve">BRD §6.1.7/§7.1 – Req 1021</t>
  </si>
  <si>
    <t xml:space="preserve">Scalability: Ability to scale up or down quickly and easily to meet changing demand and accommodate business growth. [table extract]</t>
  </si>
  <si>
    <t xml:space="preserve">Tab 1 General – row 24</t>
  </si>
  <si>
    <t xml:space="preserve">The solution shall have a mechanism to display errors to users and capture/log system/application/data errors within a logging repository for use by appropriate support personnel.</t>
  </si>
  <si>
    <t xml:space="preserve">- The ROWMS must monitor ROWMS utilization and resource usage in real time and alert ITD when predetermined data thresholds are met.</t>
  </si>
  <si>
    <t xml:space="preserve">• System Monitoring: Monitor system performance and identify potential issues.</t>
  </si>
  <si>
    <t xml:space="preserve">• User Management: Add, modify, and delete user accounts.</t>
  </si>
  <si>
    <t xml:space="preserve">• System Configuration: Configure system settings and parameters and create ad hoc reports</t>
  </si>
  <si>
    <t xml:space="preserve">BRD §6.1.7/§7.1 – Req 1026</t>
  </si>
  <si>
    <t xml:space="preserve">Monitoring and Analytics: The solution should provide detailed monitoring and analytics capabilities to allow for real-time performance and usage tracking. [table extract]</t>
  </si>
  <si>
    <t xml:space="preserve">§9 Environments</t>
  </si>
  <si>
    <t xml:space="preserve">- The Contractor must provide environments for ITD to use for testing, training, and production.</t>
  </si>
  <si>
    <t xml:space="preserve">BRD §6.1.7/§7.1 – Req 1019</t>
  </si>
  <si>
    <t xml:space="preserve">Ability to provide test and live environments that are separate from one another. Test and live environments must operate from same codebase. [table extract]</t>
  </si>
  <si>
    <t xml:space="preserve">BRD §6.1.7/§7.1 – Req 1012</t>
  </si>
  <si>
    <t xml:space="preserve">System is configurable/enhanced by Osceola staff with minimal support from the vendor post implementation. [table extract]</t>
  </si>
  <si>
    <t xml:space="preserve">Tab 1 General – row 19</t>
  </si>
  <si>
    <t xml:space="preserve">All internet facing content pages or application pages should meet federal Americans with Disabilities Act(ADA) 508 requirements with plain language.
Link: https://www.section508.gov/about-us/</t>
  </si>
  <si>
    <t xml:space="preserve">Tab 1 General – row 20</t>
  </si>
  <si>
    <t xml:space="preserve">The solution shall be compliant with state and federal ADA requirements Section 508 as well as the Web Content Accessibility Guidelines(WCAG) 2.1 AA.
Link: https://www.w3.org/WAI/standards-guidelines/wcag/new-in-21/</t>
  </si>
  <si>
    <t xml:space="preserve">§9 Web Application Development</t>
  </si>
  <si>
    <t xml:space="preserve">- The Contractor must provide an ADA (Americans with Disabilities Act) compliant ROWMS. The ROWMS must meet standards for Accessible Design, which states that all electronic and information technology (like websites) must be accessible to people with disabilities.</t>
  </si>
  <si>
    <t xml:space="preserve">Features List – row 20</t>
  </si>
  <si>
    <t xml:space="preserve">Cloud-based, web applications must demostrate complicance with City's accessibility and UX design standards</t>
  </si>
  <si>
    <t xml:space="preserve">Tab 1 General – row 6</t>
  </si>
  <si>
    <t xml:space="preserve">The solution shall support current versions of major, modern web browsers in use at the time of system delivery such as, but not limited to Google Chrome, Microsoft Edge, Apple Safari, and Mozilla Firefox.  Vendor support must include ability to keep current with major browser enhancements.</t>
  </si>
  <si>
    <t xml:space="preserve">- The Contractor must provide a web based ROWMS that is accessible and compatible with the following current and future versions of ITD approved browsers: Microsoft Edge Chromium, Google Chrome, and Safari.</t>
  </si>
  <si>
    <t xml:space="preserve">• Portability: Consider portability across different operating systems and platforms.</t>
  </si>
  <si>
    <t xml:space="preserve">BRD §6.1.7/§7.1 – Req 1030</t>
  </si>
  <si>
    <t xml:space="preserve">Client Software: Clients should be modern web browsers and mobile applications supported on all major platforms including computers, mobile devices, and tablets. [table extract]</t>
  </si>
  <si>
    <t xml:space="preserve">- Browsers: What browsers are supported by the solution. (The City’s current supported browsers are Chrome and MS Edge).</t>
  </si>
  <si>
    <t xml:space="preserve">Tab 1 General – row 7</t>
  </si>
  <si>
    <t xml:space="preserve">The solution shall allow keyboard shortcuts, tabbing, and other functions to enter information efficiently.</t>
  </si>
  <si>
    <t xml:space="preserve">Tab 7 Administrative – row 46</t>
  </si>
  <si>
    <t xml:space="preserve">Simple, user-friendly interface with minimal training required</t>
  </si>
  <si>
    <t xml:space="preserve">Tab 7 Administrative – row 47</t>
  </si>
  <si>
    <t xml:space="preserve">In-system help or tooltips for guidance</t>
  </si>
  <si>
    <t xml:space="preserve">• Usability: The system should be quick, user-friendly and easy to navigate.</t>
  </si>
  <si>
    <t xml:space="preserve">Tab 3 Survey – row 14</t>
  </si>
  <si>
    <t xml:space="preserve">The system will provide mobile support for field crews to view survey control or upload data directly from the field.</t>
  </si>
  <si>
    <t xml:space="preserve">App. A §3.2.3</t>
  </si>
  <si>
    <t xml:space="preserve">• Allow field inspectors to access and update ROW and Utilities records via mobile devices.</t>
  </si>
  <si>
    <t xml:space="preserve">RFP front matter (Advertisement / Introduction)</t>
  </si>
  <si>
    <t xml:space="preserve">I. ADVERTISEMENT New Mexico Department of Transportation Office of Infrastructure RFP No. 06-0100 Right of Way and Utilities Management System The purpose of this request is to seek a qualified Offeror(s) or consultant team(s) to assist the New Mexico Department of Transportation (NMDOT) in the introduction of a program that will enable NMDOT, through an application system, to allow for standardization of processes related to Right of Way (ROW) acquisitions, appraisals, and relocations, and Utility agreements throughout the NMDOT, provide robust lookup and reporting capabilities, provide notifications to stakeholders of important dates, interface with other key systems, and be accessible on mobile devices. Proposals shall be valid for one hundred twenty (120) days subject to all action by the New Mexico Department of Transportation. NMDOT reserves the right to reject any or all proposals in part or in whole. Proposals shall be submitted to the NMDOT Electronically. Proposals submitted by hard copy o …</t>
  </si>
  <si>
    <t xml:space="preserve">• Mobile capabilities on various pcs, laptops, cell phones, and tablets.</t>
  </si>
  <si>
    <t xml:space="preserve">Perf. Requirements – Construction Management</t>
  </si>
  <si>
    <t xml:space="preserve">• Ability for project teams to access pertinent property information in the field</t>
  </si>
  <si>
    <t xml:space="preserve">- Web and Mobile Accessibility: Describe how the product can be launched and accessed via a website. Additionally, provide information on how the proposed solution can be accessed, and edited through various devices such as desktop computers, smartphones, and tablet computers. Include details about any specific software or browser requirements, as well as the user experience on different devices.</t>
  </si>
  <si>
    <t xml:space="preserve">Features List – row 10</t>
  </si>
  <si>
    <t xml:space="preserve">Ability to visualize ROW feature or regulations and update them using a web application that is available over different types of modern devices (desktop/smartphones/tablets)</t>
  </si>
  <si>
    <t xml:space="preserve">Tab 1 General – row 4</t>
  </si>
  <si>
    <t xml:space="preserve">The vendor shall supply training, and help systems.</t>
  </si>
  <si>
    <t xml:space="preserve">Tab 4 Land Titles – row 33</t>
  </si>
  <si>
    <t xml:space="preserve">Training and support will be provided to staff unfamiliar with digital title tools.</t>
  </si>
  <si>
    <t xml:space="preserve">§9 Training</t>
  </si>
  <si>
    <t xml:space="preserve">- Training must be provided for the Right of Way’s staff, ITD Highways Divisions, and additional ITD staff as required by HWY.</t>
  </si>
  <si>
    <t xml:space="preserve">App. A §3.3</t>
  </si>
  <si>
    <t xml:space="preserve">• Provide comprehensive training sessions for staff and stakeholders.</t>
  </si>
  <si>
    <t xml:space="preserve">• Training and Onboarding: A plan for training the client's users on how to use the proposed SaaS solution including Onsite Training for ATP and Real Estate Consultant.</t>
  </si>
  <si>
    <t xml:space="preserve">11. End User and Technician Training Project Deliverables</t>
  </si>
  <si>
    <t xml:space="preserve">- The Contractor must update its software at least every six (6) months to stay up to date on identified fixes and security features and work with current ITD preferred browser(s). The Contractor must provide ITD all available upgrades and new software versions at no additional cost to the proposed amount.</t>
  </si>
  <si>
    <t xml:space="preserve">• Deliver ongoing technical support and system updates.</t>
  </si>
  <si>
    <t xml:space="preserve">… Service Level Agreements (SLAs): Outline the SLAs for the SaaS solution, including uptime guarantees, response times, and support levels. SUBMITTALS: Please examine the Solicitation, the Scope of Services, and all other parts of this solicitation, whether incorporated by reference or otherwise, before the submission of an offer. …</t>
  </si>
  <si>
    <t xml:space="preserve">• Maintainability: The system should be easy to maintain and update.</t>
  </si>
  <si>
    <t xml:space="preserve">BRD §6.1.7/§7.1 – Req 1010</t>
  </si>
  <si>
    <t xml:space="preserve">Must provide access to the product release roadmap and ensure all product upgrades are in line with product release roadmap. [table extract]</t>
  </si>
  <si>
    <t xml:space="preserve">10. Support and Maintenance Plan</t>
  </si>
  <si>
    <t xml:space="preserve">- After the Contract is awarded, the Contractor must collaborate with ITD Project Manager to develop a Project Plan that is designed to ensure that the ROWMS is implemented on time and in accordance with the requirements in the Contract. The Project Plan must include but is not limited to:</t>
  </si>
  <si>
    <t xml:space="preserve">App. A §3.1</t>
  </si>
  <si>
    <t xml:space="preserve">• Project planning and oversight services.</t>
  </si>
  <si>
    <t xml:space="preserve">• Implementation Approach: A detailed plan for deploying the proposed SaaS solution, including any required configurations, data migrations, and testing procedures.</t>
  </si>
  <si>
    <t xml:space="preserve">2. Project Management and Implementation Services</t>
  </si>
  <si>
    <t xml:space="preserve">- The ROWMS must have an open license agreement for sharing data with other ITD applications and entities.</t>
  </si>
  <si>
    <t xml:space="preserve">§9.13 Project Transition and Data Ownership (appendix text)</t>
  </si>
  <si>
    <t xml:space="preserve">- The Contractor must provide ITD with a copy of all stored data (listed in Section 9.13.1.1 above) via a mutually agreed upon transfer protocol and format within thirty (30) calendar days of request at any point within the Contract term. The Contractor must provide ITD any data delta sync-ups weekly, during the sixty (60) calendar days prior to Contract expiration, unless less frequent updates are requested in writing by ITD.</t>
  </si>
  <si>
    <t xml:space="preserve">- The Contractor must develop a Transition Plan acceptable to ITD that complies with the requirements of this section.</t>
  </si>
  <si>
    <t xml:space="preserve">• The ability for the City to use and govern this data as it deems necessary-- centralizing it, porting it into other systems, and using it for additional and future organizational needs. The City prefers:</t>
  </si>
  <si>
    <t xml:space="preserve">City-County ROW Use</t>
  </si>
  <si>
    <t xml:space="preserve">1. Improve Permitting</t>
  </si>
  <si>
    <t xml:space="preserve">- ROW permit management: Application intake, workflow based processing;</t>
  </si>
  <si>
    <t xml:space="preserve">§4 Required features – General</t>
  </si>
  <si>
    <t xml:space="preserve">o Allow users to digitally complete an application form and submit for approval</t>
  </si>
  <si>
    <t xml:space="preserve">o Ability to attach supporting documents as part of their permit requests</t>
  </si>
  <si>
    <t xml:space="preserve">o Allow ability for applicants to see status of their permit application(s)</t>
  </si>
  <si>
    <t xml:space="preserve">o Ability to cancel existing permit requests</t>
  </si>
  <si>
    <t xml:space="preserve">Features List – row 17</t>
  </si>
  <si>
    <t xml:space="preserve">A public facing web application available over all types of modern devices (desktop/smartphone/tablet) to allow residents to look up current policies and make closure permit requests</t>
  </si>
  <si>
    <t xml:space="preserve">- configurable permit generation and administration;</t>
  </si>
  <si>
    <t xml:space="preserve">§4 Required features – External Applicants</t>
  </si>
  <si>
    <t xml:space="preserve">o External parties can submit various types of requests (e.g. a temporary street use permit, an overdimensional load permit, etc.). Each type should have its own form and requirements for request submission. Forms should be pre-populated with as much as possible.</t>
  </si>
  <si>
    <t xml:space="preserve">o Ability to change fields in forms over time</t>
  </si>
  <si>
    <t xml:space="preserve">o A request cannot be submitted for approval until all of the mandatory and applicable form fields are completed.</t>
  </si>
  <si>
    <t xml:space="preserve">- *Ability to represent or visualize the permit data in map form. The application should have the ability to handle location selection on a map.*</t>
  </si>
  <si>
    <t xml:space="preserve">o Applicant should be able to draw an area for their work on a map interface.</t>
  </si>
  <si>
    <t xml:space="preserve">§4 Required features – Permit Management</t>
  </si>
  <si>
    <t xml:space="preserve">o Be able to use points, lines, or polygons to symbolize affected areas for permit.</t>
  </si>
  <si>
    <t xml:space="preserve">§4 Optional features – Permit Management</t>
  </si>
  <si>
    <t xml:space="preserve">o Ability to edit the point, line, or area entered by the applicant.</t>
  </si>
  <si>
    <t xml:space="preserve">o Users should have logins to use the system and be approved users.</t>
  </si>
  <si>
    <t xml:space="preserve">§4 Optional features – External Applicants</t>
  </si>
  <si>
    <t xml:space="preserve">o Ability to have external corporate administrators that can allow other users to see all requests that fall under their company.</t>
  </si>
  <si>
    <t xml:space="preserve">o Ability to assign access to affiliated company’s permits as part of user account approval process (for example, give all employees of Company A access to all of Company A’s permit requests). This will control what the user can see for information.</t>
  </si>
  <si>
    <t xml:space="preserve">§4 Optional features – General</t>
  </si>
  <si>
    <t xml:space="preserve">o Approved users should have customer info predefined</t>
  </si>
  <si>
    <t xml:space="preserve">o Utility customers should have the ability to submit right of way permit information for informational use by the City (these do not require approvals)</t>
  </si>
  <si>
    <t xml:space="preserve">o Ability for City staff to enter request on behalf of utility companies.</t>
  </si>
  <si>
    <t xml:space="preserve">o Need ability to take in special ad hoc requests and provide a paper based permit. Need the ability to store this request into the system. This information wouldn’t be assigned or entered by an external party.</t>
  </si>
  <si>
    <t xml:space="preserve">o Requests should check lead time required based on permit type selected. If the request does not meet this requirement, requestor should be given a warning that approval may not be guaranteed and allow them to accept and proceed in submission.</t>
  </si>
  <si>
    <t xml:space="preserve">o Ability to define dates and areas where work cannot be requested.</t>
  </si>
  <si>
    <t xml:space="preserve">o Ability to set minimum lead time for applications based on permit type.</t>
  </si>
  <si>
    <t xml:space="preserve">o Allow customers to see past permits for repeating events and provide a way to copy the event and update criteria of the request.</t>
  </si>
  <si>
    <t xml:space="preserve">o For repeat events with the same traffic accommodations each time, allow the ability to copy the work plan from prior events and update details.</t>
  </si>
  <si>
    <t xml:space="preserve">o Ability to program multi-phase accommodation work per permit. A permit could have different phases where the road is affected in different ways.</t>
  </si>
  <si>
    <t xml:space="preserve">o Overdimensional move permits – ability for requestor to plot the path of travel and submit the height of the travelling vehicle.</t>
  </si>
  <si>
    <t xml:space="preserve">o Integration with GIS to see all conflict points (e.g. traffic signals) for overdimensional vehicles. Ability to enter a route for the vehicle to validate path.</t>
  </si>
  <si>
    <t xml:space="preserve">o External parties can only see their own submissions.</t>
  </si>
  <si>
    <t xml:space="preserve">§4 Required features – Internal Applicants</t>
  </si>
  <si>
    <t xml:space="preserve">o Internal customers should have all the same options as external customers.</t>
  </si>
  <si>
    <t xml:space="preserve">o Internal parties can only see their own and City requests in detail. They can also see external requests’ general information and primary contact.</t>
  </si>
  <si>
    <t xml:space="preserve">o Ability for customers to select if a traffic accommodation plan will be required for the work.</t>
  </si>
  <si>
    <t xml:space="preserve">o Internal parties can complete self-serve traffic accommodation setup (e.g. area can put out their own no parking signs). Request still needs to be submitted so work being done across the City can be tracked. Should have an acceptance screen to advise they need to check C3DR for conflicts with their work.</t>
  </si>
  <si>
    <t xml:space="preserve">§4 Optional features – Internal Applicants</t>
  </si>
  <si>
    <t xml:space="preserve">o Internal staff request types are typically Traffic Accommodation requests. This type should be defaulted, if possible.</t>
  </si>
  <si>
    <t xml:space="preserve">o Ability to identify other contacts for the permit (and specify special instructions for them).</t>
  </si>
  <si>
    <t xml:space="preserve">- Operator Workflow: Describe how this module serves to enhance permit analyst operational efficiency for different permit types. It should present relevant information for each user type on a clear interface for monitoring and management.</t>
  </si>
  <si>
    <t xml:space="preserve">o On review by the City, the City will provide any requirements to complete the request, such as insurance, plans, etc. These must be provided to continue to approval stage.</t>
  </si>
  <si>
    <t xml:space="preserve">o Allow a permit to be approved by a Director as an override mechanism. Override should be logged in the history of the request.</t>
  </si>
  <si>
    <t xml:space="preserve">o Group based access/roles – for example, approvals can only be completed by a certain role</t>
  </si>
  <si>
    <t xml:space="preserve">o Identify areas where certain request types can be pre-approved (e.g. local road permits for internal parties). Request still needs to be entered to track information.</t>
  </si>
  <si>
    <t xml:space="preserve">3. Coordinate Utility, Capital Projects, and Special Events activities</t>
  </si>
  <si>
    <t xml:space="preserve">o Any permits conflicting with one another or with flagged areas and dates should be flagged for review by the permit team and can be overridden for approvals.</t>
  </si>
  <si>
    <t xml:space="preserve">Features List – row 11</t>
  </si>
  <si>
    <t xml:space="preserve">Automated conflict detection among ingested features and regulations or policies</t>
  </si>
  <si>
    <t xml:space="preserve">o System should allow for RFC (request for comments) to key stakeholders in internal areas. This should allow a notification (manual or automatic) and reminder to specific parties, and should centrally store all replies in the request details. It is preferred that there is no formal approval that bottlenecks the request.</t>
  </si>
  <si>
    <t xml:space="preserve">o When date parameters or other information such as contact person are updated for a request (regardless of approval status), this should be shown as a change. Approved requests that are updated should be resubmitted for approval.</t>
  </si>
  <si>
    <t xml:space="preserve">o Ability to reschedule existing permit. Ability to see history of initial request details is preferred. Changes to scheduling should trigger a fresh review of the permit approval.</t>
  </si>
  <si>
    <t xml:space="preserve">o Ability to auto process submitted permit requests that have been in a stale condition for x days and automatically cancel the requests and notify the customer. For example, permits where more info was requested from the customer, but they did not respond.</t>
  </si>
  <si>
    <t xml:space="preserve">4. Map Right of Way impacts with segment-based, spatial mapping</t>
  </si>
  <si>
    <t xml:space="preserve">- Modularity: The preference of the target solution to have modular software architecture design supporting easy addition or removal of features as needed, and how new modules can be integrated without disrupting existing functionalities.</t>
  </si>
  <si>
    <t xml:space="preserve">- Product Roadmap and Future-Proofing: Describe the product's vision and strategy, including an overview of upcoming software releases, the timeline and milestones for the product's features and updates.</t>
  </si>
  <si>
    <t xml:space="preserve">- Automation Features: Describe the features that can improve workflow automation. This includes how the solution can automate tasks.</t>
  </si>
  <si>
    <t xml:space="preserve">- Error Correction: Explain how the solution handles errors caused by external data source formatting. This includes how the product detects and corrects these errors, and how it ensures the integrity and accuracy of the data.</t>
  </si>
  <si>
    <t xml:space="preserve">- Describe how the product is prepared for future technology advancements. This may include how AI integration can optimize the workflow, and how it can continue to meet the needs of ROW Services as these technologies evolve.[^c5] ## 2.5 Pricing (Rough Order of Magnitude) The purpose of this RFI is to gather information on available technology in the marketplace, and to …</t>
  </si>
  <si>
    <t xml:space="preserve">o Reduce as much manual entry/processing through automated processing as possible to reduce human error and improve efficiency.</t>
  </si>
  <si>
    <t xml:space="preserve">o Flexible search options to filter records in general (as an example, but not limited to - permits, inspections, customers, permit types, dates/times, etc.)</t>
  </si>
  <si>
    <t xml:space="preserve">o System should allow administration team to search permits and work on different fields – for example, road name, job number, area, start and end dates, and the ability to choose a location and find all current or future permits for the area.</t>
  </si>
  <si>
    <t xml:space="preserve">o The resulting permit document for approved requests should be automatically populated with customer and request information submitted, as well as approver details. This should be an editable form that is produced in case any overrides are necessary before permit is sent out.</t>
  </si>
  <si>
    <t xml:space="preserve">o The resulting permit document notification will also include terms and conditions based on permit type. Terms and conditions should be able to be updated over time.</t>
  </si>
  <si>
    <t xml:space="preserve">o Approved requests should autogenerate permit document, application for service details, terms and conditions and financial invoice. All forms should prefill with information from the customer, request, and approver details. All costs should be summarized to see the cost of the permit. This information will be presented to the customer for acceptance.</t>
  </si>
  <si>
    <t xml:space="preserve">o Before viewing copy of permit, customers should digitally sign or agree to the permit’s acceptance conditions. Each condition must be agreed to. Permit number should not be shared until permit is accepted.</t>
  </si>
  <si>
    <t xml:space="preserve">o Show cost of permit following approval and as part of accepting terms &amp; conditions</t>
  </si>
  <si>
    <t xml:space="preserve">o Approved permits should be sent to customer digitally</t>
  </si>
  <si>
    <t xml:space="preserve">- tracking of permits, inspections, and as-built documentation; and</t>
  </si>
  <si>
    <t xml:space="preserve">o Provide a status option as part of the permit record details - this could change throughout the life of the permit. Status changes should be automatically tracked (what was changed, when and by whom). This could this be a dropdown field for standard statuses, including a field for further details.</t>
  </si>
  <si>
    <t xml:space="preserve">o Each permit/job should have an autogenerated ID for reference purposes and linking related information.</t>
  </si>
  <si>
    <t xml:space="preserve">o Replace use of email management inboxes. System should track who created, updated, scheduled, completed, etc. to allow insight into who did what and allow traceability for incidents/discrepancies.</t>
  </si>
  <si>
    <t xml:space="preserve">o Update if a permit is paid.</t>
  </si>
  <si>
    <t xml:space="preserve">o Permits for long periods of time should automatically email the customer if the end of the permit is approaching. Notification template should be customizable. This will trigger a follow up with the customer to see if any changes/extensions are needed. Ability to define which permit types use this rule.</t>
  </si>
  <si>
    <t xml:space="preserve">o Ability to have a survey automatically emailed to the customer when a permit concludes. This will encourage feedback on their experience.</t>
  </si>
  <si>
    <t xml:space="preserve">… ROW Services also intends to create a unified interface for a Client-oriented one-stop-shop for multiple permit types required for different types of work activities in City-owned or managed ROWs, and better automations of tasks such as coincident permit validation, reminders, and intra-team communication to minimize errors streamline processes, and imp …</t>
  </si>
  <si>
    <t xml:space="preserve">- preference will be given for solutions with greater user-supportability. Appendix B provides lists of ROW permits.</t>
  </si>
  <si>
    <t xml:space="preserve">o Consistent business process to manage all right of way permits, associated information and files (permits, correspondence, terms &amp; conditions, info provided) – i.e. same process for C3DR (capital); internal maintenance; external right of way applications; three way agreements</t>
  </si>
  <si>
    <t xml:space="preserve">o Central location to see accommodation info, work area and details for Utility customer submissions</t>
  </si>
  <si>
    <t xml:space="preserve">• Enable scheduling, tracking, and documentation of inspections.</t>
  </si>
  <si>
    <t xml:space="preserve">2. Manage and support inspections and quality control</t>
  </si>
  <si>
    <t xml:space="preserve">- inspection management: Tools for scheduling, conducting, and tracking inspections;</t>
  </si>
  <si>
    <t xml:space="preserve">o Support and track inspections for a Traffic Accommodation or work zone and be able to note if the zone needs to remedy any deficiencies. Should track date, time, inspector, outcome of inspection, and be able to attach pictures. Ability to store associated files to inspection records.</t>
  </si>
  <si>
    <t xml:space="preserve">• Generate automated notifications for upcoming, missed, or failed inspections.</t>
  </si>
  <si>
    <t xml:space="preserve">o If a deficiency is found in an inspection, system needs create a record to track this deficiency and its details (pulling forward details automatically from the inspection record, such as date, time, location, inspector, etc.).</t>
  </si>
  <si>
    <t xml:space="preserve">o Ability to notify applicant of any deficiency found on an inspection.</t>
  </si>
  <si>
    <t xml:space="preserve">o Inspection deficiency record should have the ability to log communications about the deficiency. May require attachments to be stored.</t>
  </si>
  <si>
    <t xml:space="preserve">o Inspection deficiencies will have a day for the applicant to fix it and confirm it is resolved. After the day's time, the system should trigger our teams to re-check the location, add follow up notes, and where possible resolve the deficiency.</t>
  </si>
  <si>
    <t xml:space="preserve">o Inspection deficiency records should have an escalation notification capability for overdue deficiency resolutions.</t>
  </si>
  <si>
    <t xml:space="preserve">• Provide compliance tracking and escalation mechanisms.</t>
  </si>
  <si>
    <t xml:space="preserve">- compliance monitoring: Support for monitoring and enforcing regulatory compliance;</t>
  </si>
  <si>
    <t xml:space="preserve">- management of inspections, violations, and compliance reviews;</t>
  </si>
  <si>
    <t xml:space="preserve">- Insurance &amp; Indemnification: Workflow to authenticate with The City’s indemnification and insurance solution (Ability to notify and validate the insurance).</t>
  </si>
  <si>
    <t xml:space="preserve">- billing module: The ability to interface with The City’s corporate eCommerce platform;</t>
  </si>
  <si>
    <t xml:space="preserve">- Mapping tool, Billing (Internal and External) and others</t>
  </si>
  <si>
    <t xml:space="preserve">§4 Required features – Financials</t>
  </si>
  <si>
    <t xml:space="preserve">o Invoicing – need to track payments due and what is paid.</t>
  </si>
  <si>
    <t xml:space="preserve">o Ideally should receive payment before getting approved permit documentation.</t>
  </si>
  <si>
    <t xml:space="preserve">o After X days, send warning to Permit team of any unpaid permits.</t>
  </si>
  <si>
    <t xml:space="preserve">§4 Optional features – Financials</t>
  </si>
  <si>
    <t xml:space="preserve">o Ability to take a payment – including credit cards – for the permit application and where possible, billable work such as traffic accommodation setup. This would require integration with City’s internal financial systems.</t>
  </si>
  <si>
    <t xml:space="preserve">o Applicants should be unable to submit new requests until they pay all outstanding payments.</t>
  </si>
  <si>
    <t xml:space="preserve">o For a new permit application, system should query the user’s account (and/or affiliated company) for outstanding permit payments when a new request is submitted.</t>
  </si>
  <si>
    <t xml:space="preserve">o Ability to track which permits are paid or unpaid</t>
  </si>
  <si>
    <t xml:space="preserve">o Part of payment process will have a disclaimer that will notify customer that there will be fees for cancellations made before x days before their event.</t>
  </si>
  <si>
    <t xml:space="preserve">o Part of payment process for permits asking for accommodations setup work will have a disclaimer that additional costs may be required and if possible, provide an estimated cost for this work.</t>
  </si>
  <si>
    <t xml:space="preserve">o For locations that requested City staff to perform accommodations work, work will be completed and the overall costs summarized for payment. This will then create an invoice form to bill the customer. This is only required if the solution cannot bill the customers directly through the solution.</t>
  </si>
  <si>
    <t xml:space="preserve">o Ability to see reference information on permit fee information for different permit types. This should be viewable from permit application screen.</t>
  </si>
  <si>
    <t xml:space="preserve">o Flag requestor that there are additional fees applicable for the City to set up any required traffic accommodations. This could be in the form of a disclaimer.</t>
  </si>
  <si>
    <t xml:space="preserve">o Tasks should be able to be scheduled on 15 minute increments.</t>
  </si>
  <si>
    <t xml:space="preserve">o Ability to integrate with ArcGIS Workforce to assign work to field workers.</t>
  </si>
  <si>
    <t xml:space="preserve">o Ability to integrate with ArcGIS Workforce to share the affected area for a permit.</t>
  </si>
  <si>
    <t xml:space="preserve">o Have a material assets database which contains a list of assets, such as signs, barricades, etc., and quantities available of each. Automatically send a notification if a certain quantity is remaining at any point of time.</t>
  </si>
  <si>
    <t xml:space="preserve">o Ability to track asset numbers for poles used for banner and flag requests. Ability to flag any overlapping use of assets.</t>
  </si>
  <si>
    <t xml:space="preserve">o Ability to manage parking meters. Show when they are booked for an event and out of use so they don’t get double booked.</t>
  </si>
  <si>
    <t xml:space="preserve">o Ability to automatically check accommodation areas against bus routes.</t>
  </si>
  <si>
    <t xml:space="preserve">o Ability to integrate with City’s C3DR tool to see what approved, scheduled, and planned accommodation work is related to certain projects. This information can be used to automatically process permit requests for possible conflicts.</t>
  </si>
  <si>
    <t xml:space="preserve">o Be able to use points, lines, or polygons to symbolize affected areas for work tasks.</t>
  </si>
  <si>
    <t xml:space="preserve">BRD §6.1.7/§7.1 – Req 1.12</t>
  </si>
  <si>
    <t xml:space="preserve">Ability to display Right of Way used Permits and display the Status (in progress and completed) that is identified in TPWMS and provide a public view to a designated information. [table extract]</t>
  </si>
  <si>
    <t xml:space="preserve">o Map interface to view all traffic restrictions and closures across the city.</t>
  </si>
  <si>
    <t xml:space="preserve">o Integration with Road Report on City of Regina’s website to show locations with accommodations/restrictions to the public.</t>
  </si>
  <si>
    <t xml:space="preserve">- notifications: Automated alerts and updates on application statuses sent to applicants and utility providers; and</t>
  </si>
  <si>
    <t xml:space="preserve">- Alerts and Reminders Functionality: Describe how the solution handles alerts and reminders. This includes how external applicants are notified of important events or tasks, and how these alerts and reminders can be customized based on priority, relevance and on permit conditions.</t>
  </si>
  <si>
    <t xml:space="preserve">§4 Required features – Reporting</t>
  </si>
  <si>
    <t xml:space="preserve">o Report number of inspections per inspection/permit site. Identify how many inspections checked, passed, or failed. If possible, should include the ability to see details of inspections or associated deficiency records.</t>
  </si>
  <si>
    <t xml:space="preserve">o Report key performance indicators on number of permits requested and how many were approved. Should have a count of pre-approved, approval overrides, and manually approved. For permits not approved, include the reasoning for the rejection.</t>
  </si>
  <si>
    <t xml:space="preserve">o Report all incomplete requests and their status. Report should start counting from time of submission of all requirements requested for the permit.</t>
  </si>
  <si>
    <t xml:space="preserve">o For reviewing incidents, should have the ability to report all permit details, locations, inspections, inspection results, etc.</t>
  </si>
  <si>
    <t xml:space="preserve">o Ability to view all planned work. Should also be the ability to view all work in a particular date range.</t>
  </si>
  <si>
    <t xml:space="preserve">o Ability to run a report on permits and their payment status.</t>
  </si>
  <si>
    <t xml:space="preserve">o Ability for City of Regina authorized staff to have access to view all past, current, and future permit requests for internal and external requests. Should be able to see general details and primary contact information for each request. Optional software features:</t>
  </si>
  <si>
    <t xml:space="preserve">§4 Optional features – Reporting</t>
  </si>
  <si>
    <t xml:space="preserve">o Ability to use GIS web services to dynamically define and update areas being used for reporting purposes, e.g. updating ward boundaries.</t>
  </si>
  <si>
    <t xml:space="preserve">o Report key performance indicators on permit types/characteristics by defined areas. For example, being able to report how many block parties occurred in a ward.</t>
  </si>
  <si>
    <t xml:space="preserve">o Scheduled event that checks for certain conditions (e.g. events in a certain area during certain times) and send a notification/report to the interested party for this location. The City understands that one software may not be able to provide all of the services listed above. Vendors are still encouraged to submit information on the software they have and the capabilities it holds, along with the following information:</t>
  </si>
  <si>
    <t xml:space="preserve">Features List – row 3</t>
  </si>
  <si>
    <t xml:space="preserve">Ingest ROW (Right-of-Way) features and policies or regulations from .shp, .json, .geojson, .csv, and other formats</t>
  </si>
  <si>
    <t xml:space="preserve">Features List – row 5</t>
  </si>
  <si>
    <t xml:space="preserve">Allocate ROW features into a predefined (user-defined) data toplogy (see 'ROW Features' tab)</t>
  </si>
  <si>
    <t xml:space="preserve">ROW Features – row 3</t>
  </si>
  <si>
    <t xml:space="preserve">no priority (features to be mapped)</t>
  </si>
  <si>
    <t xml:space="preserve">Travel Lanes – includes Bus Lanes, Bike Lanes, special lanes</t>
  </si>
  <si>
    <t xml:space="preserve">ROW Features – row 9</t>
  </si>
  <si>
    <t xml:space="preserve">Intersection</t>
  </si>
  <si>
    <t xml:space="preserve">ROW Features – row 12</t>
  </si>
  <si>
    <t xml:space="preserve">Curb lines  – includes curb cuts</t>
  </si>
  <si>
    <t xml:space="preserve">ROW Features – row 15</t>
  </si>
  <si>
    <t xml:space="preserve">Crosswalks – At intersection or midblock</t>
  </si>
  <si>
    <t xml:space="preserve">ROW Features – row 19</t>
  </si>
  <si>
    <t xml:space="preserve">Street Lighting </t>
  </si>
  <si>
    <t xml:space="preserve">ROW Features – row 23</t>
  </si>
  <si>
    <t xml:space="preserve">Bridges</t>
  </si>
  <si>
    <t xml:space="preserve">ROW Features – row 25</t>
  </si>
  <si>
    <t xml:space="preserve">Power</t>
  </si>
  <si>
    <t xml:space="preserve">ROW Features – row 28</t>
  </si>
  <si>
    <t xml:space="preserve">Fire Hydrants</t>
  </si>
  <si>
    <t xml:space="preserve">ROW Features – row 30</t>
  </si>
  <si>
    <t xml:space="preserve">Traffic Signs </t>
  </si>
  <si>
    <t xml:space="preserve">ROW Features – row 34</t>
  </si>
  <si>
    <t xml:space="preserve">Traffic Cameras</t>
  </si>
  <si>
    <t xml:space="preserve">ROW Features – row 40</t>
  </si>
  <si>
    <t xml:space="preserve">Temporary Structure  – Temp seating, moving pods, etc.</t>
  </si>
  <si>
    <t xml:space="preserve">ROW Features – row 45</t>
  </si>
  <si>
    <t xml:space="preserve">EV Charger</t>
  </si>
  <si>
    <t xml:space="preserve">ROW Features – row 46</t>
  </si>
  <si>
    <t xml:space="preserve">Subway Stations</t>
  </si>
  <si>
    <t xml:space="preserve">Features List – row 6</t>
  </si>
  <si>
    <t xml:space="preserve">Digitize ROW features and assign attributes such as status and availability based on user defined parameters and real time data feeds.</t>
  </si>
  <si>
    <t xml:space="preserve">Features List – row 7</t>
  </si>
  <si>
    <t xml:space="preserve">Automated updates to ROW digitized features and regulations or policies based on input from other systems</t>
  </si>
  <si>
    <t xml:space="preserve">Features List – row 8</t>
  </si>
  <si>
    <t xml:space="preserve">Ability to capture and manage ROW data at a spatial resolution of per lane (sidewalk/parking/travel), per foot</t>
  </si>
  <si>
    <t xml:space="preserve">Features List – row 9</t>
  </si>
  <si>
    <t xml:space="preserve">Ability to digitally ingest temporal policies, permits or regulations at a spatial resolution of per lane (sideawalk/parking/travel), per foot.</t>
  </si>
  <si>
    <t xml:space="preserve">Features List – row 4</t>
  </si>
  <si>
    <t xml:space="preserve">Convert ROW features and associated regulations to desired formats on-demand, including open data formats and specifically Curb Data Specification (CDS)</t>
  </si>
  <si>
    <t xml:space="preserve">Features List – row 12</t>
  </si>
  <si>
    <t xml:space="preserve">Ability to publish publicly accessible APIs that provide ROW information to the public in real-time using a data specification like CDS (curb data specification)</t>
  </si>
  <si>
    <t xml:space="preserve">Features List – row 13</t>
  </si>
  <si>
    <t xml:space="preserve">Ability to publish publicly accessible APIs that provide ROW regulation information to Digital Signages</t>
  </si>
  <si>
    <t xml:space="preserve">Features List – row 21</t>
  </si>
  <si>
    <t xml:space="preserve">Ability for Fleet managers to use APIs to interact with the system using CDS and register curb events per City regulations and policies</t>
  </si>
  <si>
    <t xml:space="preserve">Features List – row 14</t>
  </si>
  <si>
    <t xml:space="preserve">Ability to integrate with payment management solutions and implement dynamic pricing policies digitially</t>
  </si>
  <si>
    <t xml:space="preserve">o Self-serve feature – ability to publish video-based training on how to use the solution.</t>
  </si>
  <si>
    <t xml:space="preserve">NEW</t>
  </si>
  <si>
    <t xml:space="preserve">New_Requirements.md (process sources as cited)</t>
  </si>
  <si>
    <t xml:space="preserve">Diagram 1</t>
  </si>
  <si>
    <t xml:space="preserve">No priority given</t>
  </si>
  <si>
    <t xml:space="preserve">No</t>
  </si>
  <si>
    <t xml:space="preserve">Evidence cited in New_Requirements.md: Phase I/II flows; REM; Tampa guideline; IRWIN 8.1; Centerville data sheet</t>
  </si>
  <si>
    <t xml:space="preserve">Evidence reference (not a verbatim extract)</t>
  </si>
  <si>
    <t xml:space="preserve">Evidence cited in New_Requirements.md: Centerville ROW data sheet columns; TH parcel master list</t>
  </si>
  <si>
    <t xml:space="preserve">Evidence cited in New_Requirements.md: Phase I flow; REM Phase I; TH step 5</t>
  </si>
  <si>
    <t xml:space="preserve">Evidence cited in New_Requirements.md: Phase II activity D; HDOT pre-negotiation inspection</t>
  </si>
  <si>
    <t xml:space="preserve">Evidence cited in New_Requirements.md: Phase II activity E; REM; HDOT; NDOT 7.403 (24.102(b))</t>
  </si>
  <si>
    <t xml:space="preserve">Evidence cited in New_Requirements.md: HDOT authorization text; NDOT 1.504; TH 4.4; lifecycle Stage 1</t>
  </si>
  <si>
    <t xml:space="preserve">Evidence cited in New_Requirements.md: ROW Engineering SOP; ROW Acquisition overview; PA SOP</t>
  </si>
  <si>
    <t xml:space="preserve">Evidence cited in New_Requirements.md: PA, ED, Donation, Early SOPs</t>
  </si>
  <si>
    <t xml:space="preserve">Evidence cited in New_Requirements.md: Lifecycle Stage 1 deliverable; TH phase 1 outputs</t>
  </si>
  <si>
    <t xml:space="preserve">Diagram 2</t>
  </si>
  <si>
    <t xml:space="preserve">Evidence cited in New_Requirements.md: Phase I flow; REM Phase I; IRWIN 8.2; TH</t>
  </si>
  <si>
    <t xml:space="preserve">Evidence cited in New_Requirements.md: REM Phase I</t>
  </si>
  <si>
    <t xml:space="preserve">Evidence cited in New_Requirements.md: NDOT 5.204</t>
  </si>
  <si>
    <t xml:space="preserve">Evidence cited in New_Requirements.md: REM; GP; EF; Phase II C; Conveyance D</t>
  </si>
  <si>
    <t xml:space="preserve">Evidence cited in New_Requirements.md: REM Phase II</t>
  </si>
  <si>
    <t xml:space="preserve">Evidence cited in New_Requirements.md: REM Phase II; GP</t>
  </si>
  <si>
    <t xml:space="preserve">Diagram 3</t>
  </si>
  <si>
    <t xml:space="preserve">Evidence cited in New_Requirements.md: Phase II F; REM; HDOT request for appraisal</t>
  </si>
  <si>
    <t xml:space="preserve">Evidence cited in New_Requirements.md: HDOT authorization text (23 CFR 712.204(c)(2))</t>
  </si>
  <si>
    <t xml:space="preserve">Evidence cited in New_Requirements.md: REM; GP; Phase II G; NDOT 6.304</t>
  </si>
  <si>
    <t xml:space="preserve">Evidence cited in New_Requirements.md: NDOT 6.204 (24.102(c)(1)); TH</t>
  </si>
  <si>
    <t xml:space="preserve">Evidence cited in New_Requirements.md: NDOT 6.212; PA/ED SOPs; IRWIN specialist evaluation</t>
  </si>
  <si>
    <t xml:space="preserve">Evidence cited in New_Requirements.md: NDOT 6.408, 6.501</t>
  </si>
  <si>
    <t xml:space="preserve">Evidence cited in New_Requirements.md: NDOT 6.405 (24.102(k))</t>
  </si>
  <si>
    <t xml:space="preserve">Evidence cited in New_Requirements.md: PA SOP; ED SOP</t>
  </si>
  <si>
    <t xml:space="preserve">Diagram 4</t>
  </si>
  <si>
    <t xml:space="preserve">Evidence cited in New_Requirements.md: REM Phase II; Settlement SOP; GP</t>
  </si>
  <si>
    <t xml:space="preserve">Evidence cited in New_Requirements.md: PA SOP; ED SOP; TH 5.5</t>
  </si>
  <si>
    <t xml:space="preserve">Evidence cited in New_Requirements.md: REM; NDOT 7.410</t>
  </si>
  <si>
    <t xml:space="preserve">Evidence cited in New_Requirements.md: NDOT 7.506 (24.102(g)); IRWIN</t>
  </si>
  <si>
    <t xml:space="preserve">Evidence cited in New_Requirements.md: PA SOP; REM; GP; Phase II O</t>
  </si>
  <si>
    <t xml:space="preserve">Evidence cited in New_Requirements.md: PA SOP; Donation SOP</t>
  </si>
  <si>
    <t xml:space="preserve">Evidence cited in New_Requirements.md: REM; GP; PA SOP; AUS</t>
  </si>
  <si>
    <t xml:space="preserve">Evidence cited in New_Requirements.md: NDOT 7.505, 7.514; AUS</t>
  </si>
  <si>
    <t xml:space="preserve">Evidence cited in New_Requirements.md: Donation SOP; HDOT; NDOT 6.203</t>
  </si>
  <si>
    <t xml:space="preserve">Evidence cited in New_Requirements.md: Developer SOP; Conveyance workflow; EF</t>
  </si>
  <si>
    <t xml:space="preserve">Evidence cited in New_Requirements.md: Early Acquisition SOP</t>
  </si>
  <si>
    <t xml:space="preserve">Evidence cited in New_Requirements.md: PA SOP; NDOT 7.435; EF</t>
  </si>
  <si>
    <t xml:space="preserve">Diagram 5</t>
  </si>
  <si>
    <t xml:space="preserve">Evidence cited in New_Requirements.md: ATP 6.3a; NDOT 8.403 (24.205(a))</t>
  </si>
  <si>
    <t xml:space="preserve">Evidence cited in New_Requirements.md: ATP 6.1a; NDOT 8.408; HDOT</t>
  </si>
  <si>
    <t xml:space="preserve">Evidence cited in New_Requirements.md: ATP 6.3b</t>
  </si>
  <si>
    <t xml:space="preserve">Evidence cited in New_Requirements.md: ATP 6.2, 6.3b; NDOT 8.412</t>
  </si>
  <si>
    <t xml:space="preserve">Evidence cited in New_Requirements.md: ATP 6.3b(2)(c)</t>
  </si>
  <si>
    <t xml:space="preserve">Evidence cited in New_Requirements.md: ATP 12; NDOT 8.411 (24.10)</t>
  </si>
  <si>
    <t xml:space="preserve">Evidence cited in New_Requirements.md: ATP 6.5c</t>
  </si>
  <si>
    <t xml:space="preserve">Evidence cited in New_Requirements.md: ATP 8.4; NDOT 8.425</t>
  </si>
  <si>
    <t xml:space="preserve">Evidence cited in New_Requirements.md: ATP 6.4, 6.6, 6.8</t>
  </si>
  <si>
    <t xml:space="preserve">Diagram 6</t>
  </si>
  <si>
    <t xml:space="preserve">Evidence cited in New_Requirements.md: NDOT 2.410, 7.515; ED SOP; HDOT impasse</t>
  </si>
  <si>
    <t xml:space="preserve">Evidence cited in New_Requirements.md: ED SOP</t>
  </si>
  <si>
    <t xml:space="preserve">Evidence cited in New_Requirements.md: HDOT 2.9; ED SOP; RFF packet</t>
  </si>
  <si>
    <t xml:space="preserve">Evidence cited in New_Requirements.md: HDOT 2.9</t>
  </si>
  <si>
    <t xml:space="preserve">Evidence cited in New_Requirements.md: HDOT 2.9; ED SOP</t>
  </si>
  <si>
    <t xml:space="preserve">Diagram 7</t>
  </si>
  <si>
    <t xml:space="preserve">Evidence cited in New_Requirements.md: RFF SOP; PA SOP</t>
  </si>
  <si>
    <t xml:space="preserve">Evidence cited in New_Requirements.md: RFF SOP</t>
  </si>
  <si>
    <t xml:space="preserve">Evidence cited in New_Requirements.md: RFF SOP packet; HDOT 2.9</t>
  </si>
  <si>
    <t xml:space="preserve">Evidence cited in New_Requirements.md: HDOT closing; REM</t>
  </si>
  <si>
    <t xml:space="preserve">Evidence cited in New_Requirements.md: HDOT 2.8; REM; PA SOP</t>
  </si>
  <si>
    <t xml:space="preserve">Evidence cited in New_Requirements.md: HDOT 2.8; PA SOP; EF</t>
  </si>
  <si>
    <t xml:space="preserve">Evidence cited in New_Requirements.md: HDOT objectives (23 CFR 710.203); limited evidence</t>
  </si>
  <si>
    <t xml:space="preserve">Diagram 8</t>
  </si>
  <si>
    <t xml:space="preserve">Evidence cited in New_Requirements.md: NDOT 13.601-602</t>
  </si>
  <si>
    <t xml:space="preserve">Evidence cited in New_Requirements.md: NDOT 13.603; HDOT 2.2 Fair Rental</t>
  </si>
  <si>
    <t xml:space="preserve">Evidence cited in New_Requirements.md: NDOT 13.604</t>
  </si>
  <si>
    <t xml:space="preserve">Evidence cited in New_Requirements.md: NDOT 13.606</t>
  </si>
  <si>
    <t xml:space="preserve">Evidence cited in New_Requirements.md: NDOT ch.10</t>
  </si>
  <si>
    <t xml:space="preserve">Evidence cited in New_Requirements.md: NDOT 13.801-802; TBW</t>
  </si>
  <si>
    <t xml:space="preserve">Evidence cited in New_Requirements.md: NDOT 13.803</t>
  </si>
  <si>
    <t xml:space="preserve">Evidence cited in New_Requirements.md: NDOT 13.804, 13.509</t>
  </si>
  <si>
    <t xml:space="preserve">Evidence cited in New_Requirements.md: NDOT 13.805</t>
  </si>
  <si>
    <t xml:space="preserve">Evidence cited in New_Requirements.md: NDOT 13.806; TBW</t>
  </si>
  <si>
    <t xml:space="preserve">Evidence cited in New_Requirements.md: NDOT 13.807, 13.510-511; TBW</t>
  </si>
  <si>
    <t xml:space="preserve">Diagram 9</t>
  </si>
  <si>
    <t xml:space="preserve">Evidence cited in New_Requirements.md: NDOT 9.401; PUA matrix</t>
  </si>
  <si>
    <t xml:space="preserve">Evidence cited in New_Requirements.md: NDOT 9.302, 9.400</t>
  </si>
  <si>
    <t xml:space="preserve">Evidence cited in New_Requirements.md: NDOT 9.302F</t>
  </si>
  <si>
    <t xml:space="preserve">Evidence cited in New_Requirements.md: NDOT 9.401-402</t>
  </si>
  <si>
    <t xml:space="preserve">Evidence cited in New_Requirements.md: NDOT 9.302G</t>
  </si>
  <si>
    <t xml:space="preserve">Evidence cited in New_Requirements.md: NDOT 9.502-503</t>
  </si>
  <si>
    <t xml:space="preserve">Evidence cited in New_Requirements.md: PUA coordination matrix</t>
  </si>
  <si>
    <t xml:space="preserve">Evidence cited in New_Requirements.md: NDOT 9.501; HDOT 2.15</t>
  </si>
  <si>
    <t xml:space="preserve">Evidence cited in New_Requirements.md: NDOT 11.301-303</t>
  </si>
  <si>
    <t xml:space="preserve">Diagram 10</t>
  </si>
  <si>
    <t xml:space="preserve">Evidence cited in New_Requirements.md: Practitioner Handbook Phase 6</t>
  </si>
  <si>
    <t xml:space="preserve">Evidence cited in New_Requirements.md: NDOT 13.610; Practitioner Handbook Phase 6</t>
  </si>
  <si>
    <t xml:space="preserve">Evidence cited in New_Requirements.md: NDOT 13.608</t>
  </si>
  <si>
    <t xml:space="preserve">Evidence cited in New_Requirements.md: Practitioner Handbook Phase 6; NDOT 13.602</t>
  </si>
  <si>
    <t xml:space="preserve">Evidence cited in New_Requirements.md: NDOT 13.609-610</t>
  </si>
  <si>
    <t xml:space="preserve">Evidence cited in New_Requirements.md: Lifecycle Stage 9</t>
  </si>
  <si>
    <t xml:space="preserve">Evidence cited in New_Requirements.md: NDOT 7.435</t>
  </si>
  <si>
    <t xml:space="preserve">Evidence cited in New_Requirements.md: HDOT (FHWA key elements)</t>
  </si>
  <si>
    <t xml:space="preserve">Evidence cited in New_Requirements.md: Lifecycle Stage 9; TH 4.5; HDOT</t>
  </si>
  <si>
    <t xml:space="preserve">Evidence cited in New_Requirements.md: Lifecycle Stage 9; HDOT</t>
  </si>
  <si>
    <t xml:space="preserve">Evidence cited in New_Requirements.md: HDOT; lifecycle Stage 9</t>
  </si>
  <si>
    <t xml:space="preserve">Document (file)</t>
  </si>
  <si>
    <t xml:space="preserve">Issuer / level</t>
  </si>
  <si>
    <t xml:space="preserve">Date or identifier shown in file</t>
  </si>
  <si>
    <t xml:space="preserve">Used for</t>
  </si>
  <si>
    <t xml:space="preserve">How priority was read</t>
  </si>
  <si>
    <t xml:space="preserve">Items cited (Traceability)</t>
  </si>
  <si>
    <t xml:space="preserve">Features citing – ROW sheet</t>
  </si>
  <si>
    <t xml:space="preserve">Features citing – City/County sheet</t>
  </si>
  <si>
    <t xml:space="preserve">Caveats</t>
  </si>
  <si>
    <t xml:space="preserve">08_04_25_NH_DOT_ROWMS_and_Rail_Requirements.xlsx</t>
  </si>
  <si>
    <t xml:space="preserve">NH DOT – State DOT – requirements response matrix (9 tabs)</t>
  </si>
  <si>
    <t xml:space="preserve">File name only: 08_04_25</t>
  </si>
  <si>
    <t xml:space="preserve">ROW module</t>
  </si>
  <si>
    <t xml:space="preserve">Required → M. 'Optional' / 'Desired/Optional' with High or Medium → S; with Low → C. Blank → E.</t>
  </si>
  <si>
    <t xml:space="preserve">Nearly every row is 'Required/High'. Some rows truncated in the source (see Open Questions). Response columns are blank.</t>
  </si>
  <si>
    <t xml:space="preserve">RFP_Event_85_Administrative_Document.docx</t>
  </si>
  <si>
    <t xml:space="preserve">Idaho Transportation Dept – State DOT – ROWMS RFP</t>
  </si>
  <si>
    <t xml:space="preserve">RFP Event 85</t>
  </si>
  <si>
    <t xml:space="preserve">'Must have functionality' → M. '(ME)' → M. '(E)' / 'may have' value-added items → C.</t>
  </si>
  <si>
    <t xml:space="preserve">Largest source (~1,000 parsed lines). Report-tool minutiae and contract sections summarised. File is plain text with .docx extension.</t>
  </si>
  <si>
    <t xml:space="preserve">FINAL_ROW_RFP_06-0100.pdf</t>
  </si>
  <si>
    <t xml:space="preserve">New Mexico DOT – State DOT – ROW &amp; Utilities RFP</t>
  </si>
  <si>
    <t xml:space="preserve">May 2025</t>
  </si>
  <si>
    <t xml:space="preserve">ROW module + utilities</t>
  </si>
  <si>
    <t xml:space="preserve">Appendix A scope items / RFP purpose → M; Appendix A §2 'Project Objectives' ('system should') → S.</t>
  </si>
  <si>
    <t xml:space="preserve">Appendix A is high level; no detailed matrix. Contract/procurement text not mined.</t>
  </si>
  <si>
    <t xml:space="preserve">ROW_RFI.pdf</t>
  </si>
  <si>
    <t xml:space="preserve">Washington State DOT – State DOT – RFI</t>
  </si>
  <si>
    <t xml:space="preserve">March 14, 2023</t>
  </si>
  <si>
    <t xml:space="preserve">RFI performance list, no priority given → E.</t>
  </si>
  <si>
    <t xml:space="preserve">Non-binding RFI.</t>
  </si>
  <si>
    <t xml:space="preserve">Requuest_for_Quote_-_Real_Estate_Right_of_Way_Management_System.pdf</t>
  </si>
  <si>
    <t xml:space="preserve">Austin Transit Partnership – transit authority – RFQ</t>
  </si>
  <si>
    <t xml:space="preserve">RFQ issued Aug 19, 2025</t>
  </si>
  <si>
    <t xml:space="preserve">Functional/data/technology items → M; non-functional items worded 'should' → S.</t>
  </si>
  <si>
    <t xml:space="preserve">The RFQ objective names 'Masterworks Cloud, Platform Core PLT-MWC-C', 80 users, Silver support (written around the Aurigo platform). It says processes/workflows are not yet defined.</t>
  </si>
  <si>
    <t xml:space="preserve">RFP-24-13972-DN_TPWMS.pdf</t>
  </si>
  <si>
    <t xml:space="preserve">Osceola County, FL – county – asset/work-order RFP; Attachment M BRD</t>
  </si>
  <si>
    <t xml:space="preserve">Due Oct 17, 2023</t>
  </si>
  <si>
    <t xml:space="preserve">ROW module (only §6.1.7 real estate/ROW, §7.1 GIS and general NFR rows)</t>
  </si>
  <si>
    <t xml:space="preserve">MoSCoW: M→M, S→S, C→C.</t>
  </si>
  <si>
    <t xml:space="preserve">Rest of the BRD (roads, bridges, stormwater, signs, work orders) NOT mined. County-level document; only its real-estate/ROW rows are used. Cited text typed from wrapped table – re-verify before contractual use.</t>
  </si>
  <si>
    <t xml:space="preserve">185263_SUPPLIER.pdf</t>
  </si>
  <si>
    <t xml:space="preserve">City of Detroit – city – ROW use/permitting RFP</t>
  </si>
  <si>
    <t xml:space="preserve">Proposal due 12/17/24</t>
  </si>
  <si>
    <t xml:space="preserve">City-County sheet only</t>
  </si>
  <si>
    <t xml:space="preserve">'City minimally requires' → M; 'prefers' → S; objectives → E.</t>
  </si>
  <si>
    <t xml:space="preserve">n/a</t>
  </si>
  <si>
    <t xml:space="preserve">Attachment G (system specs) is referenced but NOT in the file.</t>
  </si>
  <si>
    <t xml:space="preserve">RFI_25-006_-__Right_of_Way.docx</t>
  </si>
  <si>
    <t xml:space="preserve">City of Calgary – city – ROW permit portal RFI</t>
  </si>
  <si>
    <t xml:space="preserve">Issued 02-07-2025</t>
  </si>
  <si>
    <t xml:space="preserve">Capabilities without priorities → E.</t>
  </si>
  <si>
    <t xml:space="preserve">Plain text with .docx extension; contains reviewer comments. Appendix B lists 37 permit types.</t>
  </si>
  <si>
    <t xml:space="preserve">Right_of_Way_Management_Software_1.pdf</t>
  </si>
  <si>
    <t xml:space="preserve">City of Regina – city – ROW management RFI</t>
  </si>
  <si>
    <t xml:space="preserve">Issued Feb 12, 2026</t>
  </si>
  <si>
    <t xml:space="preserve">'Required software features' → M; 'Optional software features' → C.</t>
  </si>
  <si>
    <t xml:space="preserve">DM1343_10_9_Appendix_D_Smart_ROW_Software_Features_Matrix.xlsx</t>
  </si>
  <si>
    <t xml:space="preserve">Smart ROW matrix – issuer not stated – street/curb data</t>
  </si>
  <si>
    <t xml:space="preserve">None shown</t>
  </si>
  <si>
    <t xml:space="preserve">'Features List' 'Must Have' → M; 'ROW Features' tab (49 feature types) → E.</t>
  </si>
  <si>
    <t xml:space="preserve">Issuer not named; 'Indego Stations', 'PPA' unexplained. Vendor columns empty.</t>
  </si>
  <si>
    <t xml:space="preserve">New_Requirements.md</t>
  </si>
  <si>
    <t xml:space="preserve">Process sources as cited in the file (SOPs, state DOT manual sections, lifecycle stages, practitioner handbook) – no issuer named in the file</t>
  </si>
  <si>
    <t xml:space="preserve">Not stated</t>
  </si>
  <si>
    <t xml:space="preserve">ROW module (ROW-233 to ROW-323)</t>
  </si>
  <si>
    <t xml:space="preserve">No priority given in the file → stated, no priority. Not counted in the NH/ID/NM/WA/ATX/OSC priority codes.</t>
  </si>
  <si>
    <t xml:space="preserve">Evidence is cited by source name and section only (e.g. 'NDOT 7.403'); the underlying documents were not provided, so no verbatim extracts are available. 'Limited evidence' items name the need but not the mechanics.</t>
  </si>
  <si>
    <t xml:space="preserve">Aurigo reference documents used for coverage columns (not counted as requirement sources):</t>
  </si>
  <si>
    <t xml:space="preserve">MW_ROW_Pro_-_Scope_of_Work.xlsx – 'Original - Right of Way', 'Original - Utilities', 'Right of Way Pro - SOW'</t>
  </si>
  <si>
    <t xml:space="preserve">ROW_Pro_Demo_Script.docx – forms: Project, Parcel, Appraisal, Ownership, Agreement, Questionnaire, Relocation, Inspection, Easements</t>
  </si>
  <si>
    <t xml:space="preserve">ROW_Presentation.pptx – product deck, July 2024</t>
  </si>
  <si>
    <t xml:space="preserve">RoW_Product_Masterlist-Library.xlsx – library list</t>
  </si>
  <si>
    <t xml:space="preserve">ROW_Product_Lifecycle.jpg – image, not analysed in detail</t>
  </si>
  <si>
    <t xml:space="preserve">Summary (live formulas)</t>
  </si>
  <si>
    <t xml:space="preserve">ROW FEATURES – by domain and consolidated priority</t>
  </si>
  <si>
    <t xml:space="preserve">Could Have</t>
  </si>
  <si>
    <t xml:space="preserve">Aurigo-only (no RFP source)</t>
  </si>
  <si>
    <t xml:space="preserve">ROW FEATURES – consensus tier</t>
  </si>
  <si>
    <t xml:space="preserve">Tier</t>
  </si>
  <si>
    <t xml:space="preserve">Features</t>
  </si>
  <si>
    <t xml:space="preserve">Tier 1: Must in 3+ sources</t>
  </si>
  <si>
    <t xml:space="preserve">Tier 2: Must in 2 sources</t>
  </si>
  <si>
    <t xml:space="preserve">Tier 3: Must in 1 source</t>
  </si>
  <si>
    <t xml:space="preserve">Tier 4: Should only</t>
  </si>
  <si>
    <t xml:space="preserve">Tier 5: Could only</t>
  </si>
  <si>
    <t xml:space="preserve">Aurigo-only</t>
  </si>
  <si>
    <t xml:space="preserve">ROW FEATURES – by source</t>
  </si>
  <si>
    <t xml:space="preserve">Source</t>
  </si>
  <si>
    <t xml:space="preserve">Features citing</t>
  </si>
  <si>
    <t xml:space="preserve">Rated Must</t>
  </si>
  <si>
    <t xml:space="preserve">Rated Should</t>
  </si>
  <si>
    <t xml:space="preserve">Rated Could</t>
  </si>
  <si>
    <t xml:space="preserve">NH – NH DOT ROWMS &amp; Rail Requirements</t>
  </si>
  <si>
    <t xml:space="preserve">ID – Idaho ITD RFP Event 85 – ROWMS</t>
  </si>
  <si>
    <t xml:space="preserve">NM – NMDOT RFP 06-0100</t>
  </si>
  <si>
    <t xml:space="preserve">WA – WSDOT RFI (2023)</t>
  </si>
  <si>
    <t xml:space="preserve">ATX – Austin Transit Partnership RFQ (2025)</t>
  </si>
  <si>
    <t xml:space="preserve">OSC – Osceola County BRD §6.1.7 (real estate/ROW)</t>
  </si>
  <si>
    <t xml:space="preserve">ROW FEATURES – Aurigo coverage by domain (provided docs only)</t>
  </si>
  <si>
    <t xml:space="preserve">ROW FEATURES – Must Have by Aurigo coverage (gap view)</t>
  </si>
  <si>
    <t xml:space="preserve">Must + Not evidenced</t>
  </si>
  <si>
    <t xml:space="preserve">Must + Partial</t>
  </si>
  <si>
    <t xml:space="preserve">Must + Platform/demo only</t>
  </si>
  <si>
    <t xml:space="preserve">CITY / COUNTY sheet (reference only) – by priority</t>
  </si>
  <si>
    <t xml:space="preserve">#</t>
  </si>
  <si>
    <t xml:space="preserve">Type</t>
  </si>
  <si>
    <t xml:space="preserve">Where</t>
  </si>
  <si>
    <t xml:space="preserve">Issue</t>
  </si>
  <si>
    <t xml:space="preserve">How I handled it</t>
  </si>
  <si>
    <t xml:space="preserve">Needs from you?</t>
  </si>
  <si>
    <t xml:space="preserve">Scope</t>
  </si>
  <si>
    <t xml:space="preserve">All</t>
  </si>
  <si>
    <t xml:space="preserve">City-County sheet</t>
  </si>
  <si>
    <t xml:space="preserve">Permitting/street-data requirements (Detroit, Calgary, Regina, Smart ROW) are city/county level.</t>
  </si>
  <si>
    <t xml:space="preserve">Placed on a separate sheet, excluded from ROW priority and source counts. Where a ROW feature also resembles a city ask it is noted, not counted.</t>
  </si>
  <si>
    <t xml:space="preserve">Missing content</t>
  </si>
  <si>
    <t xml:space="preserve">RFP 185263 §2.3</t>
  </si>
  <si>
    <t xml:space="preserve">'Attachment G' (system details/specs) is referenced but not in the file.</t>
  </si>
  <si>
    <t xml:space="preserve">Only the objectives and data/API expectations are on the City-County sheet.</t>
  </si>
  <si>
    <t xml:space="preserve">Optional</t>
  </si>
  <si>
    <t xml:space="preserve">Truncated source</t>
  </si>
  <si>
    <t xml:space="preserve">Tab 1 rows 8, 14, 21, 28</t>
  </si>
  <si>
    <t xml:space="preserve">Requirement text is cut off in the file itself (e.g., 'The solution must have the ability to maintain ove').</t>
  </si>
  <si>
    <t xml:space="preserve">Rows 8, 14, 28 not mapped. Row 21 cited only as evidence of audit logging.</t>
  </si>
  <si>
    <t xml:space="preserve">Optional – full NH text</t>
  </si>
  <si>
    <t xml:space="preserve">Undefined term</t>
  </si>
  <si>
    <t xml:space="preserve">Tab 4 row 9</t>
  </si>
  <si>
    <t xml:space="preserve">'Lchip' used without definition.</t>
  </si>
  <si>
    <t xml:space="preserve">Quoted as written.</t>
  </si>
  <si>
    <t xml:space="preserve">Maybe</t>
  </si>
  <si>
    <t xml:space="preserve">Tab 8 rows 5-11, 30, 33, 35-36</t>
  </si>
  <si>
    <t xml:space="preserve">'Mosaic (NH Granite)', 'WOFI', 'MTS', 'SADES', 'ortho', 'datum' listed with no explanation.</t>
  </si>
  <si>
    <t xml:space="preserve">Listed as named items; not interpreted.</t>
  </si>
  <si>
    <t xml:space="preserve">Yes – NH can clarify</t>
  </si>
  <si>
    <t xml:space="preserve">Tabs 2, 7, 8, 9</t>
  </si>
  <si>
    <t xml:space="preserve">'G&amp;C', 'NHBTLA', 'TU&amp;O', 'RSA's', 'the Committee' not defined.</t>
  </si>
  <si>
    <t xml:space="preserve">Ambiguity</t>
  </si>
  <si>
    <t xml:space="preserve">Tab 9 row 8</t>
  </si>
  <si>
    <t xml:space="preserve">'TITLE IV Reports' while Tab 2 row 45 and Tab 7 row 7 say Title 6 / Title VI.</t>
  </si>
  <si>
    <t xml:space="preserve">Treated as Title VI; flagged on the feature.</t>
  </si>
  <si>
    <t xml:space="preserve">Confirm</t>
  </si>
  <si>
    <t xml:space="preserve">Tab 2 rows 7, 19, 45; Tab 3 row 21; Tab 6 row 17</t>
  </si>
  <si>
    <t xml:space="preserve">'AUTO document negotiation conversations', 'Relocation of signs…', 'hearing survey data', 'project responsibility reporting', 'annual letters' – intent not fully clear.</t>
  </si>
  <si>
    <t xml:space="preserve">Described only what the text says.</t>
  </si>
  <si>
    <t xml:space="preserve">Data gap</t>
  </si>
  <si>
    <t xml:space="preserve">Tab 2 row 16</t>
  </si>
  <si>
    <t xml:space="preserve">'Transfer responsibility from agent acquisition to PM care' has no Required/Priority value.</t>
  </si>
  <si>
    <t xml:space="preserve">Coded E.</t>
  </si>
  <si>
    <t xml:space="preserve">Weak signal</t>
  </si>
  <si>
    <t xml:space="preserve">NH / ID</t>
  </si>
  <si>
    <t xml:space="preserve">NH rows are almost all 'Required/High' and Idaho calls nearly everything 'must', inflating Must Have.</t>
  </si>
  <si>
    <t xml:space="preserve">Added Consensus tier, '# sources' and 'Breadth'.</t>
  </si>
  <si>
    <t xml:space="preserve">Coverage limit</t>
  </si>
  <si>
    <t xml:space="preserve">BRD</t>
  </si>
  <si>
    <t xml:space="preserve">Only §6.1.7 real estate/ROW, §7.1 GIS and general non-functional rows mined; cited text typed from wrapped tables.</t>
  </si>
  <si>
    <t xml:space="preserve">Flagged on Traceability.</t>
  </si>
  <si>
    <t xml:space="preserve">§9.8-9.14, Appendices B-D</t>
  </si>
  <si>
    <t xml:space="preserve">Implementation/SLA/security/transition sections partly mapped; Appendices B-D not mined; report-tool minutiae consolidated.</t>
  </si>
  <si>
    <t xml:space="preserve">Mapped functional scope, NFR highlights, (E) value-added items.</t>
  </si>
  <si>
    <t xml:space="preserve">Appendix A</t>
  </si>
  <si>
    <t xml:space="preserve">High level only; contract sections not mined.</t>
  </si>
  <si>
    <t xml:space="preserve">Mapped objectives and scope items.</t>
  </si>
  <si>
    <t xml:space="preserve">Method</t>
  </si>
  <si>
    <t xml:space="preserve">Priority rule</t>
  </si>
  <si>
    <t xml:space="preserve">Consolidated priority = highest rating among counted sources; overstates when only one source asks.</t>
  </si>
  <si>
    <t xml:space="preserve">Weight columns added.</t>
  </si>
  <si>
    <t xml:space="preserve">Aurigo</t>
  </si>
  <si>
    <t xml:space="preserve">Coverage columns</t>
  </si>
  <si>
    <t xml:space="preserve">Judged from SOW, demo script, deck, library list only. The Pro SOW lists Inventory/Sales/Lease reports but not the Property Management forms (Original SOW only).</t>
  </si>
  <si>
    <t xml:space="preserve">Marked property forms as covered per Original SOW and noted it.</t>
  </si>
  <si>
    <t xml:space="preserve">Yes – confirm what ROW Pro ships</t>
  </si>
  <si>
    <t xml:space="preserve">Observation</t>
  </si>
  <si>
    <t xml:space="preserve">RFQ objective</t>
  </si>
  <si>
    <t xml:space="preserve">RFQ asks for 'Masterworks Cloud, Platform Core PLT-MWC-C' for 80 users and says processes are not yet defined.</t>
  </si>
  <si>
    <t xml:space="preserve">Scope treated as requirements; no further inference.</t>
  </si>
</sst>
</file>

<file path=xl/styles.xml><?xml version="1.0" encoding="utf-8"?>
<styleSheet xmlns="http://schemas.openxmlformats.org/spreadsheetml/2006/main">
  <numFmts count="2">
    <numFmt numFmtId="164" formatCode="General"/>
    <numFmt numFmtId="165" formatCode="General"/>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b val="true"/>
      <sz val="14"/>
      <color rgb="FF1F3864"/>
      <name val="Arial"/>
      <family val="0"/>
      <charset val="1"/>
    </font>
    <font>
      <b val="true"/>
      <sz val="10"/>
      <color rgb="FFFFFFFF"/>
      <name val="Arial"/>
      <family val="0"/>
      <charset val="1"/>
    </font>
    <font>
      <b val="true"/>
      <sz val="11"/>
      <name val="Arial"/>
      <family val="0"/>
      <charset val="1"/>
    </font>
    <font>
      <b val="true"/>
      <sz val="12"/>
      <color rgb="FFC00000"/>
      <name val="Arial"/>
      <family val="0"/>
      <charset val="1"/>
    </font>
    <font>
      <b val="true"/>
      <sz val="12"/>
      <name val="Arial"/>
      <family val="0"/>
      <charset val="1"/>
    </font>
    <font>
      <sz val="10"/>
      <color theme="1"/>
      <name val="Arial"/>
      <family val="0"/>
      <charset val="1"/>
    </font>
  </fonts>
  <fills count="6">
    <fill>
      <patternFill patternType="none"/>
    </fill>
    <fill>
      <patternFill patternType="gray125"/>
    </fill>
    <fill>
      <patternFill patternType="solid">
        <fgColor rgb="FFD9E1F2"/>
        <bgColor rgb="FFDDEBF7"/>
      </patternFill>
    </fill>
    <fill>
      <patternFill patternType="solid">
        <fgColor rgb="FF1F3864"/>
        <bgColor rgb="FF333333"/>
      </patternFill>
    </fill>
    <fill>
      <patternFill patternType="solid">
        <fgColor rgb="FFFCE4D6"/>
        <bgColor rgb="FFF2F2F2"/>
      </patternFill>
    </fill>
    <fill>
      <patternFill patternType="solid">
        <fgColor rgb="FF7F6000"/>
        <bgColor rgb="FF9933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center"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10" fillId="4"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center" vertical="bottom"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0B4"/>
          <bgColor rgb="FF000000"/>
        </patternFill>
      </fill>
    </dxf>
    <dxf>
      <fill>
        <patternFill patternType="solid">
          <fgColor rgb="FFD9D9D9"/>
          <bgColor rgb="FF000000"/>
        </patternFill>
      </fill>
    </dxf>
    <dxf>
      <fill>
        <patternFill patternType="solid">
          <fgColor rgb="FFDDEBF7"/>
          <bgColor rgb="FF000000"/>
        </patternFill>
      </fill>
    </dxf>
    <dxf>
      <fill>
        <patternFill patternType="solid">
          <fgColor rgb="FFF4B183"/>
          <bgColor rgb="FF000000"/>
        </patternFill>
      </fill>
    </dxf>
    <dxf>
      <fill>
        <patternFill patternType="solid">
          <fgColor rgb="FFFFE699"/>
          <bgColor rgb="FF000000"/>
        </patternFill>
      </fill>
    </dxf>
    <dxf>
      <fill>
        <patternFill patternType="solid">
          <fgColor rgb="FFF2F2F2"/>
          <bgColor rgb="FF000000"/>
        </patternFill>
      </fill>
    </dxf>
    <dxf>
      <fill>
        <patternFill>
          <bgColor rgb="FFF4B183"/>
        </patternFill>
      </fill>
    </dxf>
    <dxf>
      <fill>
        <patternFill>
          <bgColor rgb="FFFFE699"/>
        </patternFill>
      </fill>
    </dxf>
    <dxf>
      <fill>
        <patternFill>
          <bgColor rgb="FFC6E0B4"/>
        </patternFill>
      </fill>
    </dxf>
    <dxf>
      <fill>
        <patternFill>
          <bgColor rgb="FFDDEBF7"/>
        </patternFill>
      </fill>
    </dxf>
    <dxf>
      <fill>
        <patternFill>
          <bgColor rgb="FFD9D9D9"/>
        </patternFill>
      </fill>
    </dxf>
    <dxf>
      <fill>
        <patternFill>
          <bgColor rgb="FFF2F2F2"/>
        </patternFill>
      </fill>
    </dxf>
    <dxf>
      <fill>
        <patternFill patternType="solid">
          <fgColor rgb="FF7F6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9999FF"/>
      <rgbColor rgb="FF993366"/>
      <rgbColor rgb="FFF2F2F2"/>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1F2"/>
      <rgbColor rgb="FFC6E0B4"/>
      <rgbColor rgb="FFFFE699"/>
      <rgbColor rgb="FF99CCFF"/>
      <rgbColor rgb="FFFCE4D6"/>
      <rgbColor rgb="FFCC99FF"/>
      <rgbColor rgb="FFF4B183"/>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8.6328125" defaultRowHeight="14.25" zeroHeight="false" outlineLevelRow="0" outlineLevelCol="0"/>
  <cols>
    <col collapsed="false" customWidth="true" hidden="false" outlineLevel="0" max="1" min="1" style="0" width="30"/>
    <col collapsed="false" customWidth="true" hidden="false" outlineLevel="0" max="2" min="2" style="0" width="125"/>
  </cols>
  <sheetData>
    <row r="1" customFormat="false" ht="18" hidden="false" customHeight="true" outlineLevel="0" collapsed="false">
      <c r="A1" s="1" t="s">
        <v>0</v>
      </c>
    </row>
    <row r="3" customFormat="false" ht="37.5" hidden="false" customHeight="true" outlineLevel="0" collapsed="false">
      <c r="A3" s="2" t="s">
        <v>1</v>
      </c>
      <c r="B3" s="3" t="s">
        <v>2</v>
      </c>
    </row>
    <row r="4" customFormat="false" ht="37.5" hidden="false" customHeight="true" outlineLevel="0" collapsed="false">
      <c r="A4" s="2" t="s">
        <v>3</v>
      </c>
      <c r="B4" s="3" t="s">
        <v>4</v>
      </c>
    </row>
    <row r="5" customFormat="false" ht="24.75" hidden="false" customHeight="true" outlineLevel="0" collapsed="false">
      <c r="A5" s="2" t="s">
        <v>5</v>
      </c>
      <c r="B5" s="3" t="s">
        <v>6</v>
      </c>
    </row>
    <row r="6" customFormat="false" ht="37.5" hidden="false" customHeight="true" outlineLevel="0" collapsed="false">
      <c r="A6" s="2" t="s">
        <v>7</v>
      </c>
      <c r="B6" s="3" t="s">
        <v>8</v>
      </c>
    </row>
    <row r="7" customFormat="false" ht="24.75" hidden="false" customHeight="true" outlineLevel="0" collapsed="false">
      <c r="A7" s="2" t="s">
        <v>9</v>
      </c>
      <c r="B7" s="3" t="s">
        <v>10</v>
      </c>
    </row>
    <row r="8" customFormat="false" ht="24.75" hidden="false" customHeight="true" outlineLevel="0" collapsed="false">
      <c r="A8" s="2" t="s">
        <v>11</v>
      </c>
      <c r="B8" s="3" t="s">
        <v>12</v>
      </c>
    </row>
    <row r="9" customFormat="false" ht="37.5" hidden="false" customHeight="true" outlineLevel="0" collapsed="false">
      <c r="A9" s="2" t="s">
        <v>13</v>
      </c>
      <c r="B9" s="3" t="s">
        <v>14</v>
      </c>
    </row>
    <row r="10" customFormat="false" ht="24.75" hidden="false" customHeight="true" outlineLevel="0" collapsed="false">
      <c r="A10" s="2" t="s">
        <v>15</v>
      </c>
      <c r="B10" s="3" t="s">
        <v>16</v>
      </c>
    </row>
    <row r="11" customFormat="false" ht="24.75" hidden="false" customHeight="true" outlineLevel="0" collapsed="false">
      <c r="A11" s="2" t="s">
        <v>17</v>
      </c>
      <c r="B11" s="3" t="s">
        <v>18</v>
      </c>
    </row>
    <row r="12" customFormat="false" ht="14.25" hidden="false" customHeight="false" outlineLevel="0" collapsed="false">
      <c r="A12" s="2" t="s">
        <v>19</v>
      </c>
      <c r="B12" s="3" t="s">
        <v>20</v>
      </c>
    </row>
    <row r="13" customFormat="false" ht="23.85" hidden="false" customHeight="false" outlineLevel="0" collapsed="false">
      <c r="A13" s="2" t="s">
        <v>21</v>
      </c>
      <c r="B13" s="3" t="s">
        <v>22</v>
      </c>
    </row>
    <row r="14" customFormat="false" ht="35.05" hidden="false" customHeight="false" outlineLevel="0" collapsed="false">
      <c r="A14" s="2" t="s">
        <v>23</v>
      </c>
      <c r="B14" s="3"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6"/>
    <col collapsed="false" customWidth="true" hidden="false" outlineLevel="0" max="3" min="3" style="0" width="11"/>
    <col collapsed="false" customWidth="true" hidden="false" outlineLevel="0" max="5" min="4" style="0" width="10"/>
    <col collapsed="false" customWidth="true" hidden="false" outlineLevel="0" max="6" min="6" style="0" width="14"/>
    <col collapsed="false" customWidth="true" hidden="false" outlineLevel="0" max="7" min="7" style="0" width="110"/>
  </cols>
  <sheetData>
    <row r="1" customFormat="false" ht="17.35" hidden="false" customHeight="false" outlineLevel="0" collapsed="false">
      <c r="A1" s="4" t="s">
        <v>25</v>
      </c>
    </row>
    <row r="2" customFormat="false" ht="15" hidden="false" customHeight="false" outlineLevel="0" collapsed="false">
      <c r="A2" s="5" t="s">
        <v>26</v>
      </c>
    </row>
    <row r="4" customFormat="false" ht="23.85" hidden="false" customHeight="false" outlineLevel="0" collapsed="false">
      <c r="A4" s="6" t="s">
        <v>27</v>
      </c>
      <c r="B4" s="6" t="s">
        <v>28</v>
      </c>
      <c r="C4" s="6" t="s">
        <v>29</v>
      </c>
      <c r="D4" s="6" t="s">
        <v>30</v>
      </c>
      <c r="E4" s="6" t="s">
        <v>31</v>
      </c>
      <c r="F4" s="6" t="s">
        <v>32</v>
      </c>
      <c r="G4" s="6" t="s">
        <v>33</v>
      </c>
    </row>
    <row r="5" customFormat="false" ht="23.85" hidden="false" customHeight="false" outlineLevel="0" collapsed="false">
      <c r="A5" s="7" t="s">
        <v>34</v>
      </c>
      <c r="B5" s="8" t="s">
        <v>35</v>
      </c>
      <c r="C5" s="9" t="n">
        <f aca="false">COUNTIF('ROW Features'!$Z$4:$Z$326,A5)</f>
        <v>13</v>
      </c>
      <c r="D5" s="9" t="n">
        <f aca="false">_xlfn.MINIFS('ROW Features'!$AB$4:$AB$326,'ROW Features'!$Z$4:$Z$326,A5)</f>
        <v>1</v>
      </c>
      <c r="E5" s="9" t="n">
        <f aca="false">_xlfn.MAXIFS('ROW Features'!$AB$4:$AB$326,'ROW Features'!$Z$4:$Z$326,A5)</f>
        <v>13</v>
      </c>
      <c r="F5" s="9" t="s">
        <v>34</v>
      </c>
      <c r="G5" s="8" t="s">
        <v>36</v>
      </c>
    </row>
    <row r="6" customFormat="false" ht="23.85" hidden="false" customHeight="false" outlineLevel="0" collapsed="false">
      <c r="A6" s="7" t="s">
        <v>37</v>
      </c>
      <c r="B6" s="8" t="s">
        <v>38</v>
      </c>
      <c r="C6" s="9" t="n">
        <f aca="false">COUNTIF('ROW Features'!$Z$4:$Z$326,A6)</f>
        <v>11</v>
      </c>
      <c r="D6" s="9" t="n">
        <f aca="false">_xlfn.MINIFS('ROW Features'!$AB$4:$AB$326,'ROW Features'!$Z$4:$Z$326,A6)</f>
        <v>14</v>
      </c>
      <c r="E6" s="9" t="n">
        <f aca="false">_xlfn.MAXIFS('ROW Features'!$AB$4:$AB$326,'ROW Features'!$Z$4:$Z$326,A6)</f>
        <v>24</v>
      </c>
      <c r="F6" s="9" t="s">
        <v>37</v>
      </c>
      <c r="G6" s="8" t="s">
        <v>39</v>
      </c>
    </row>
    <row r="7" customFormat="false" ht="23.85" hidden="false" customHeight="false" outlineLevel="0" collapsed="false">
      <c r="A7" s="7" t="s">
        <v>40</v>
      </c>
      <c r="B7" s="8" t="s">
        <v>41</v>
      </c>
      <c r="C7" s="9" t="n">
        <f aca="false">COUNTIF('ROW Features'!$Z$4:$Z$326,A7)</f>
        <v>9</v>
      </c>
      <c r="D7" s="9" t="n">
        <f aca="false">_xlfn.MINIFS('ROW Features'!$AB$4:$AB$326,'ROW Features'!$Z$4:$Z$326,A7)</f>
        <v>25</v>
      </c>
      <c r="E7" s="9" t="n">
        <f aca="false">_xlfn.MAXIFS('ROW Features'!$AB$4:$AB$326,'ROW Features'!$Z$4:$Z$326,A7)</f>
        <v>33</v>
      </c>
      <c r="F7" s="9" t="s">
        <v>40</v>
      </c>
      <c r="G7" s="8" t="s">
        <v>42</v>
      </c>
    </row>
    <row r="8" customFormat="false" ht="23.85" hidden="false" customHeight="false" outlineLevel="0" collapsed="false">
      <c r="A8" s="7" t="s">
        <v>43</v>
      </c>
      <c r="B8" s="8" t="s">
        <v>44</v>
      </c>
      <c r="C8" s="9" t="n">
        <f aca="false">COUNTIF('ROW Features'!$Z$4:$Z$326,A8)</f>
        <v>12</v>
      </c>
      <c r="D8" s="9" t="n">
        <f aca="false">_xlfn.MINIFS('ROW Features'!$AB$4:$AB$326,'ROW Features'!$Z$4:$Z$326,A8)</f>
        <v>34</v>
      </c>
      <c r="E8" s="9" t="n">
        <f aca="false">_xlfn.MAXIFS('ROW Features'!$AB$4:$AB$326,'ROW Features'!$Z$4:$Z$326,A8)</f>
        <v>45</v>
      </c>
      <c r="F8" s="9" t="s">
        <v>43</v>
      </c>
      <c r="G8" s="8" t="s">
        <v>45</v>
      </c>
    </row>
    <row r="9" customFormat="false" ht="23.85" hidden="false" customHeight="false" outlineLevel="0" collapsed="false">
      <c r="A9" s="7" t="s">
        <v>46</v>
      </c>
      <c r="B9" s="8" t="s">
        <v>47</v>
      </c>
      <c r="C9" s="9" t="n">
        <f aca="false">COUNTIF('ROW Features'!$Z$4:$Z$326,A9)</f>
        <v>4</v>
      </c>
      <c r="D9" s="9" t="n">
        <f aca="false">_xlfn.MINIFS('ROW Features'!$AB$4:$AB$326,'ROW Features'!$Z$4:$Z$326,A9)</f>
        <v>46</v>
      </c>
      <c r="E9" s="9" t="n">
        <f aca="false">_xlfn.MAXIFS('ROW Features'!$AB$4:$AB$326,'ROW Features'!$Z$4:$Z$326,A9)</f>
        <v>49</v>
      </c>
      <c r="F9" s="9" t="s">
        <v>46</v>
      </c>
      <c r="G9" s="8" t="s">
        <v>48</v>
      </c>
    </row>
    <row r="10" customFormat="false" ht="35.05" hidden="false" customHeight="false" outlineLevel="0" collapsed="false">
      <c r="A10" s="7" t="s">
        <v>49</v>
      </c>
      <c r="B10" s="8" t="s">
        <v>50</v>
      </c>
      <c r="C10" s="9" t="n">
        <f aca="false">COUNTIF('ROW Features'!$Z$4:$Z$326,A10)</f>
        <v>16</v>
      </c>
      <c r="D10" s="9" t="n">
        <f aca="false">_xlfn.MINIFS('ROW Features'!$AB$4:$AB$326,'ROW Features'!$Z$4:$Z$326,A10)</f>
        <v>50</v>
      </c>
      <c r="E10" s="9" t="n">
        <f aca="false">_xlfn.MAXIFS('ROW Features'!$AB$4:$AB$326,'ROW Features'!$Z$4:$Z$326,A10)</f>
        <v>65</v>
      </c>
      <c r="F10" s="9" t="s">
        <v>49</v>
      </c>
      <c r="G10" s="8" t="s">
        <v>51</v>
      </c>
    </row>
    <row r="11" customFormat="false" ht="23.85" hidden="false" customHeight="false" outlineLevel="0" collapsed="false">
      <c r="A11" s="7" t="s">
        <v>52</v>
      </c>
      <c r="B11" s="8" t="s">
        <v>53</v>
      </c>
      <c r="C11" s="9" t="n">
        <f aca="false">COUNTIF('ROW Features'!$Z$4:$Z$326,A11)</f>
        <v>15</v>
      </c>
      <c r="D11" s="9" t="n">
        <f aca="false">_xlfn.MINIFS('ROW Features'!$AB$4:$AB$326,'ROW Features'!$Z$4:$Z$326,A11)</f>
        <v>66</v>
      </c>
      <c r="E11" s="9" t="n">
        <f aca="false">_xlfn.MAXIFS('ROW Features'!$AB$4:$AB$326,'ROW Features'!$Z$4:$Z$326,A11)</f>
        <v>80</v>
      </c>
      <c r="F11" s="9" t="s">
        <v>52</v>
      </c>
      <c r="G11" s="8" t="s">
        <v>54</v>
      </c>
    </row>
    <row r="12" customFormat="false" ht="23.85" hidden="false" customHeight="false" outlineLevel="0" collapsed="false">
      <c r="A12" s="7" t="s">
        <v>55</v>
      </c>
      <c r="B12" s="8" t="s">
        <v>56</v>
      </c>
      <c r="C12" s="9" t="n">
        <f aca="false">COUNTIF('ROW Features'!$Z$4:$Z$326,A12)</f>
        <v>9</v>
      </c>
      <c r="D12" s="9" t="n">
        <f aca="false">_xlfn.MINIFS('ROW Features'!$AB$4:$AB$326,'ROW Features'!$Z$4:$Z$326,A12)</f>
        <v>81</v>
      </c>
      <c r="E12" s="9" t="n">
        <f aca="false">_xlfn.MAXIFS('ROW Features'!$AB$4:$AB$326,'ROW Features'!$Z$4:$Z$326,A12)</f>
        <v>89</v>
      </c>
      <c r="F12" s="9" t="s">
        <v>55</v>
      </c>
      <c r="G12" s="8" t="s">
        <v>57</v>
      </c>
    </row>
    <row r="13" customFormat="false" ht="23.85" hidden="false" customHeight="false" outlineLevel="0" collapsed="false">
      <c r="A13" s="7" t="s">
        <v>58</v>
      </c>
      <c r="B13" s="8" t="s">
        <v>59</v>
      </c>
      <c r="C13" s="9" t="n">
        <f aca="false">COUNTIF('ROW Features'!$Z$4:$Z$326,A13)</f>
        <v>20</v>
      </c>
      <c r="D13" s="9" t="n">
        <f aca="false">_xlfn.MINIFS('ROW Features'!$AB$4:$AB$326,'ROW Features'!$Z$4:$Z$326,A13)</f>
        <v>90</v>
      </c>
      <c r="E13" s="9" t="n">
        <f aca="false">_xlfn.MAXIFS('ROW Features'!$AB$4:$AB$326,'ROW Features'!$Z$4:$Z$326,A13)</f>
        <v>109</v>
      </c>
      <c r="F13" s="9" t="s">
        <v>58</v>
      </c>
      <c r="G13" s="8" t="s">
        <v>60</v>
      </c>
    </row>
    <row r="14" customFormat="false" ht="35.05" hidden="false" customHeight="false" outlineLevel="0" collapsed="false">
      <c r="A14" s="7" t="s">
        <v>61</v>
      </c>
      <c r="B14" s="8" t="s">
        <v>62</v>
      </c>
      <c r="C14" s="9" t="n">
        <f aca="false">COUNTIF('ROW Features'!$Z$4:$Z$326,A14)</f>
        <v>20</v>
      </c>
      <c r="D14" s="9" t="n">
        <f aca="false">_xlfn.MINIFS('ROW Features'!$AB$4:$AB$326,'ROW Features'!$Z$4:$Z$326,A14)</f>
        <v>110</v>
      </c>
      <c r="E14" s="9" t="n">
        <f aca="false">_xlfn.MAXIFS('ROW Features'!$AB$4:$AB$326,'ROW Features'!$Z$4:$Z$326,A14)</f>
        <v>129</v>
      </c>
      <c r="F14" s="9" t="s">
        <v>61</v>
      </c>
      <c r="G14" s="8" t="s">
        <v>63</v>
      </c>
    </row>
    <row r="15" customFormat="false" ht="23.85" hidden="false" customHeight="false" outlineLevel="0" collapsed="false">
      <c r="A15" s="7" t="s">
        <v>64</v>
      </c>
      <c r="B15" s="8" t="s">
        <v>65</v>
      </c>
      <c r="C15" s="9" t="n">
        <f aca="false">COUNTIF('ROW Features'!$Z$4:$Z$326,A15)</f>
        <v>13</v>
      </c>
      <c r="D15" s="9" t="n">
        <f aca="false">_xlfn.MINIFS('ROW Features'!$AB$4:$AB$326,'ROW Features'!$Z$4:$Z$326,A15)</f>
        <v>130</v>
      </c>
      <c r="E15" s="9" t="n">
        <f aca="false">_xlfn.MAXIFS('ROW Features'!$AB$4:$AB$326,'ROW Features'!$Z$4:$Z$326,A15)</f>
        <v>142</v>
      </c>
      <c r="F15" s="9" t="s">
        <v>64</v>
      </c>
      <c r="G15" s="8" t="s">
        <v>66</v>
      </c>
    </row>
    <row r="16" customFormat="false" ht="23.85" hidden="false" customHeight="false" outlineLevel="0" collapsed="false">
      <c r="A16" s="7" t="s">
        <v>67</v>
      </c>
      <c r="B16" s="8" t="s">
        <v>68</v>
      </c>
      <c r="C16" s="9" t="n">
        <f aca="false">COUNTIF('ROW Features'!$Z$4:$Z$326,A16)</f>
        <v>9</v>
      </c>
      <c r="D16" s="9" t="n">
        <f aca="false">_xlfn.MINIFS('ROW Features'!$AB$4:$AB$326,'ROW Features'!$Z$4:$Z$326,A16)</f>
        <v>143</v>
      </c>
      <c r="E16" s="9" t="n">
        <f aca="false">_xlfn.MAXIFS('ROW Features'!$AB$4:$AB$326,'ROW Features'!$Z$4:$Z$326,A16)</f>
        <v>151</v>
      </c>
      <c r="F16" s="9" t="s">
        <v>67</v>
      </c>
      <c r="G16" s="8" t="s">
        <v>69</v>
      </c>
    </row>
    <row r="17" customFormat="false" ht="35.05" hidden="false" customHeight="false" outlineLevel="0" collapsed="false">
      <c r="A17" s="7" t="s">
        <v>70</v>
      </c>
      <c r="B17" s="8" t="s">
        <v>71</v>
      </c>
      <c r="C17" s="9" t="n">
        <f aca="false">COUNTIF('ROW Features'!$Z$4:$Z$326,A17)</f>
        <v>14</v>
      </c>
      <c r="D17" s="9" t="n">
        <f aca="false">_xlfn.MINIFS('ROW Features'!$AB$4:$AB$326,'ROW Features'!$Z$4:$Z$326,A17)</f>
        <v>152</v>
      </c>
      <c r="E17" s="9" t="n">
        <f aca="false">_xlfn.MAXIFS('ROW Features'!$AB$4:$AB$326,'ROW Features'!$Z$4:$Z$326,A17)</f>
        <v>165</v>
      </c>
      <c r="F17" s="9" t="s">
        <v>70</v>
      </c>
      <c r="G17" s="8" t="s">
        <v>72</v>
      </c>
    </row>
    <row r="18" customFormat="false" ht="23.85" hidden="false" customHeight="false" outlineLevel="0" collapsed="false">
      <c r="A18" s="7" t="s">
        <v>73</v>
      </c>
      <c r="B18" s="8" t="s">
        <v>74</v>
      </c>
      <c r="C18" s="9" t="n">
        <f aca="false">COUNTIF('ROW Features'!$Z$4:$Z$326,A18)</f>
        <v>6</v>
      </c>
      <c r="D18" s="9" t="n">
        <f aca="false">_xlfn.MINIFS('ROW Features'!$AB$4:$AB$326,'ROW Features'!$Z$4:$Z$326,A18)</f>
        <v>166</v>
      </c>
      <c r="E18" s="9" t="n">
        <f aca="false">_xlfn.MAXIFS('ROW Features'!$AB$4:$AB$326,'ROW Features'!$Z$4:$Z$326,A18)</f>
        <v>171</v>
      </c>
      <c r="F18" s="9" t="s">
        <v>75</v>
      </c>
      <c r="G18" s="8" t="s">
        <v>76</v>
      </c>
    </row>
    <row r="19" customFormat="false" ht="15" hidden="false" customHeight="false" outlineLevel="0" collapsed="false">
      <c r="A19" s="7" t="s">
        <v>77</v>
      </c>
      <c r="B19" s="8" t="s">
        <v>78</v>
      </c>
      <c r="C19" s="9" t="n">
        <f aca="false">COUNTIF('ROW Features'!$Z$4:$Z$326,A19)</f>
        <v>9</v>
      </c>
      <c r="D19" s="9" t="n">
        <f aca="false">_xlfn.MINIFS('ROW Features'!$AB$4:$AB$326,'ROW Features'!$Z$4:$Z$326,A19)</f>
        <v>172</v>
      </c>
      <c r="E19" s="9" t="n">
        <f aca="false">_xlfn.MAXIFS('ROW Features'!$AB$4:$AB$326,'ROW Features'!$Z$4:$Z$326,A19)</f>
        <v>180</v>
      </c>
      <c r="F19" s="9" t="s">
        <v>70</v>
      </c>
      <c r="G19" s="8" t="s">
        <v>79</v>
      </c>
    </row>
    <row r="20" customFormat="false" ht="23.85" hidden="false" customHeight="false" outlineLevel="0" collapsed="false">
      <c r="A20" s="7" t="s">
        <v>80</v>
      </c>
      <c r="B20" s="8" t="s">
        <v>81</v>
      </c>
      <c r="C20" s="9" t="n">
        <f aca="false">COUNTIF('ROW Features'!$Z$4:$Z$326,A20)</f>
        <v>5</v>
      </c>
      <c r="D20" s="9" t="n">
        <f aca="false">_xlfn.MINIFS('ROW Features'!$AB$4:$AB$326,'ROW Features'!$Z$4:$Z$326,A20)</f>
        <v>181</v>
      </c>
      <c r="E20" s="9" t="n">
        <f aca="false">_xlfn.MAXIFS('ROW Features'!$AB$4:$AB$326,'ROW Features'!$Z$4:$Z$326,A20)</f>
        <v>185</v>
      </c>
      <c r="F20" s="9" t="s">
        <v>73</v>
      </c>
      <c r="G20" s="8" t="s">
        <v>82</v>
      </c>
    </row>
    <row r="21" customFormat="false" ht="23.85" hidden="false" customHeight="false" outlineLevel="0" collapsed="false">
      <c r="A21" s="7" t="s">
        <v>83</v>
      </c>
      <c r="B21" s="8" t="s">
        <v>84</v>
      </c>
      <c r="C21" s="9" t="n">
        <f aca="false">COUNTIF('ROW Features'!$Z$4:$Z$326,A21)</f>
        <v>8</v>
      </c>
      <c r="D21" s="9" t="n">
        <f aca="false">_xlfn.MINIFS('ROW Features'!$AB$4:$AB$326,'ROW Features'!$Z$4:$Z$326,A21)</f>
        <v>186</v>
      </c>
      <c r="E21" s="9" t="n">
        <f aca="false">_xlfn.MAXIFS('ROW Features'!$AB$4:$AB$326,'ROW Features'!$Z$4:$Z$326,A21)</f>
        <v>193</v>
      </c>
      <c r="F21" s="9" t="s">
        <v>77</v>
      </c>
      <c r="G21" s="8" t="s">
        <v>85</v>
      </c>
    </row>
    <row r="22" customFormat="false" ht="23.85" hidden="false" customHeight="false" outlineLevel="0" collapsed="false">
      <c r="A22" s="7" t="s">
        <v>86</v>
      </c>
      <c r="B22" s="8" t="s">
        <v>87</v>
      </c>
      <c r="C22" s="9" t="n">
        <f aca="false">COUNTIF('ROW Features'!$Z$4:$Z$326,A22)</f>
        <v>10</v>
      </c>
      <c r="D22" s="9" t="n">
        <f aca="false">_xlfn.MINIFS('ROW Features'!$AB$4:$AB$326,'ROW Features'!$Z$4:$Z$326,A22)</f>
        <v>194</v>
      </c>
      <c r="E22" s="9" t="n">
        <f aca="false">_xlfn.MAXIFS('ROW Features'!$AB$4:$AB$326,'ROW Features'!$Z$4:$Z$326,A22)</f>
        <v>203</v>
      </c>
      <c r="F22" s="9" t="s">
        <v>80</v>
      </c>
      <c r="G22" s="8" t="s">
        <v>88</v>
      </c>
    </row>
    <row r="23" customFormat="false" ht="23.85" hidden="false" customHeight="false" outlineLevel="0" collapsed="false">
      <c r="A23" s="7" t="s">
        <v>89</v>
      </c>
      <c r="B23" s="8" t="s">
        <v>90</v>
      </c>
      <c r="C23" s="9" t="n">
        <f aca="false">COUNTIF('ROW Features'!$Z$4:$Z$326,A23)</f>
        <v>8</v>
      </c>
      <c r="D23" s="9" t="n">
        <f aca="false">_xlfn.MINIFS('ROW Features'!$AB$4:$AB$326,'ROW Features'!$Z$4:$Z$326,A23)</f>
        <v>204</v>
      </c>
      <c r="E23" s="9" t="n">
        <f aca="false">_xlfn.MAXIFS('ROW Features'!$AB$4:$AB$326,'ROW Features'!$Z$4:$Z$326,A23)</f>
        <v>211</v>
      </c>
      <c r="F23" s="9" t="s">
        <v>91</v>
      </c>
      <c r="G23" s="8" t="s">
        <v>92</v>
      </c>
    </row>
    <row r="24" customFormat="false" ht="23.85" hidden="false" customHeight="false" outlineLevel="0" collapsed="false">
      <c r="A24" s="7" t="s">
        <v>93</v>
      </c>
      <c r="B24" s="8" t="s">
        <v>94</v>
      </c>
      <c r="C24" s="9" t="n">
        <f aca="false">COUNTIF('ROW Features'!$Z$4:$Z$326,A24)</f>
        <v>5</v>
      </c>
      <c r="D24" s="9" t="n">
        <f aca="false">_xlfn.MINIFS('ROW Features'!$AB$4:$AB$326,'ROW Features'!$Z$4:$Z$326,A24)</f>
        <v>212</v>
      </c>
      <c r="E24" s="9" t="n">
        <f aca="false">_xlfn.MAXIFS('ROW Features'!$AB$4:$AB$326,'ROW Features'!$Z$4:$Z$326,A24)</f>
        <v>216</v>
      </c>
      <c r="F24" s="9" t="s">
        <v>83</v>
      </c>
      <c r="G24" s="8" t="s">
        <v>95</v>
      </c>
    </row>
    <row r="25" customFormat="false" ht="15" hidden="false" customHeight="false" outlineLevel="0" collapsed="false">
      <c r="A25" s="7" t="s">
        <v>96</v>
      </c>
      <c r="B25" s="8" t="s">
        <v>97</v>
      </c>
      <c r="C25" s="9" t="n">
        <f aca="false">COUNTIF('ROW Features'!$Z$4:$Z$326,A25)</f>
        <v>7</v>
      </c>
      <c r="D25" s="9" t="n">
        <f aca="false">_xlfn.MINIFS('ROW Features'!$AB$4:$AB$326,'ROW Features'!$Z$4:$Z$326,A25)</f>
        <v>217</v>
      </c>
      <c r="E25" s="9" t="n">
        <f aca="false">_xlfn.MAXIFS('ROW Features'!$AB$4:$AB$326,'ROW Features'!$Z$4:$Z$326,A25)</f>
        <v>223</v>
      </c>
      <c r="F25" s="9" t="s">
        <v>86</v>
      </c>
      <c r="G25" s="8" t="s">
        <v>98</v>
      </c>
    </row>
    <row r="26" customFormat="false" ht="23.85" hidden="false" customHeight="false" outlineLevel="0" collapsed="false">
      <c r="A26" s="7" t="s">
        <v>99</v>
      </c>
      <c r="B26" s="8" t="s">
        <v>100</v>
      </c>
      <c r="C26" s="9" t="n">
        <f aca="false">COUNTIF('ROW Features'!$Z$4:$Z$326,A26)</f>
        <v>7</v>
      </c>
      <c r="D26" s="9" t="n">
        <f aca="false">_xlfn.MINIFS('ROW Features'!$AB$4:$AB$326,'ROW Features'!$Z$4:$Z$326,A26)</f>
        <v>224</v>
      </c>
      <c r="E26" s="9" t="n">
        <f aca="false">_xlfn.MAXIFS('ROW Features'!$AB$4:$AB$326,'ROW Features'!$Z$4:$Z$326,A26)</f>
        <v>230</v>
      </c>
      <c r="F26" s="9" t="s">
        <v>86</v>
      </c>
      <c r="G26" s="8" t="s">
        <v>101</v>
      </c>
    </row>
    <row r="27" customFormat="false" ht="35.05" hidden="false" customHeight="false" outlineLevel="0" collapsed="false">
      <c r="A27" s="7" t="s">
        <v>102</v>
      </c>
      <c r="B27" s="8" t="s">
        <v>103</v>
      </c>
      <c r="C27" s="9" t="n">
        <f aca="false">COUNTIF('ROW Features'!$Z$4:$Z$326,A27)</f>
        <v>7</v>
      </c>
      <c r="D27" s="9" t="n">
        <f aca="false">_xlfn.MINIFS('ROW Features'!$AB$4:$AB$326,'ROW Features'!$Z$4:$Z$326,A27)</f>
        <v>231</v>
      </c>
      <c r="E27" s="9" t="n">
        <f aca="false">_xlfn.MAXIFS('ROW Features'!$AB$4:$AB$326,'ROW Features'!$Z$4:$Z$326,A27)</f>
        <v>237</v>
      </c>
      <c r="F27" s="9" t="s">
        <v>75</v>
      </c>
      <c r="G27" s="8" t="s">
        <v>104</v>
      </c>
    </row>
    <row r="28" customFormat="false" ht="23.85" hidden="false" customHeight="false" outlineLevel="0" collapsed="false">
      <c r="A28" s="7" t="s">
        <v>105</v>
      </c>
      <c r="B28" s="8" t="s">
        <v>106</v>
      </c>
      <c r="C28" s="9" t="n">
        <f aca="false">COUNTIF('ROW Features'!$Z$4:$Z$326,A28)</f>
        <v>6</v>
      </c>
      <c r="D28" s="9" t="n">
        <f aca="false">_xlfn.MINIFS('ROW Features'!$AB$4:$AB$326,'ROW Features'!$Z$4:$Z$326,A28)</f>
        <v>238</v>
      </c>
      <c r="E28" s="9" t="n">
        <f aca="false">_xlfn.MAXIFS('ROW Features'!$AB$4:$AB$326,'ROW Features'!$Z$4:$Z$326,A28)</f>
        <v>243</v>
      </c>
      <c r="F28" s="9" t="s">
        <v>75</v>
      </c>
      <c r="G28" s="8" t="s">
        <v>107</v>
      </c>
    </row>
    <row r="29" customFormat="false" ht="23.85" hidden="false" customHeight="false" outlineLevel="0" collapsed="false">
      <c r="A29" s="7" t="s">
        <v>108</v>
      </c>
      <c r="B29" s="8" t="s">
        <v>109</v>
      </c>
      <c r="C29" s="9" t="n">
        <f aca="false">COUNTIF('ROW Features'!$Z$4:$Z$326,A29)</f>
        <v>9</v>
      </c>
      <c r="D29" s="9" t="n">
        <f aca="false">_xlfn.MINIFS('ROW Features'!$AB$4:$AB$326,'ROW Features'!$Z$4:$Z$326,A29)</f>
        <v>244</v>
      </c>
      <c r="E29" s="9" t="n">
        <f aca="false">_xlfn.MAXIFS('ROW Features'!$AB$4:$AB$326,'ROW Features'!$Z$4:$Z$326,A29)</f>
        <v>252</v>
      </c>
      <c r="F29" s="9" t="s">
        <v>89</v>
      </c>
      <c r="G29" s="8" t="s">
        <v>110</v>
      </c>
    </row>
    <row r="30" customFormat="false" ht="23.85" hidden="false" customHeight="false" outlineLevel="0" collapsed="false">
      <c r="A30" s="7" t="s">
        <v>111</v>
      </c>
      <c r="B30" s="8" t="s">
        <v>112</v>
      </c>
      <c r="C30" s="9" t="n">
        <f aca="false">COUNTIF('ROW Features'!$Z$4:$Z$326,A30)</f>
        <v>13</v>
      </c>
      <c r="D30" s="9" t="n">
        <f aca="false">_xlfn.MINIFS('ROW Features'!$AB$4:$AB$326,'ROW Features'!$Z$4:$Z$326,A30)</f>
        <v>253</v>
      </c>
      <c r="E30" s="9" t="n">
        <f aca="false">_xlfn.MAXIFS('ROW Features'!$AB$4:$AB$326,'ROW Features'!$Z$4:$Z$326,A30)</f>
        <v>265</v>
      </c>
      <c r="F30" s="9" t="s">
        <v>93</v>
      </c>
      <c r="G30" s="8" t="s">
        <v>113</v>
      </c>
    </row>
    <row r="31" customFormat="false" ht="23.85" hidden="false" customHeight="false" outlineLevel="0" collapsed="false">
      <c r="A31" s="7" t="s">
        <v>114</v>
      </c>
      <c r="B31" s="8" t="s">
        <v>115</v>
      </c>
      <c r="C31" s="9" t="n">
        <f aca="false">COUNTIF('ROW Features'!$Z$4:$Z$326,A31)</f>
        <v>5</v>
      </c>
      <c r="D31" s="9" t="n">
        <f aca="false">_xlfn.MINIFS('ROW Features'!$AB$4:$AB$326,'ROW Features'!$Z$4:$Z$326,A31)</f>
        <v>266</v>
      </c>
      <c r="E31" s="9" t="n">
        <f aca="false">_xlfn.MAXIFS('ROW Features'!$AB$4:$AB$326,'ROW Features'!$Z$4:$Z$326,A31)</f>
        <v>270</v>
      </c>
      <c r="F31" s="9" t="s">
        <v>96</v>
      </c>
      <c r="G31" s="8" t="s">
        <v>116</v>
      </c>
    </row>
    <row r="32" customFormat="false" ht="23.85" hidden="false" customHeight="false" outlineLevel="0" collapsed="false">
      <c r="A32" s="7" t="s">
        <v>117</v>
      </c>
      <c r="B32" s="8" t="s">
        <v>118</v>
      </c>
      <c r="C32" s="9" t="n">
        <f aca="false">COUNTIF('ROW Features'!$Z$4:$Z$326,A32)</f>
        <v>6</v>
      </c>
      <c r="D32" s="9" t="n">
        <f aca="false">_xlfn.MINIFS('ROW Features'!$AB$4:$AB$326,'ROW Features'!$Z$4:$Z$326,A32)</f>
        <v>271</v>
      </c>
      <c r="E32" s="9" t="n">
        <f aca="false">_xlfn.MAXIFS('ROW Features'!$AB$4:$AB$326,'ROW Features'!$Z$4:$Z$326,A32)</f>
        <v>276</v>
      </c>
      <c r="F32" s="9" t="s">
        <v>99</v>
      </c>
      <c r="G32" s="8" t="s">
        <v>119</v>
      </c>
    </row>
    <row r="33" customFormat="false" ht="23.85" hidden="false" customHeight="false" outlineLevel="0" collapsed="false">
      <c r="A33" s="7" t="s">
        <v>120</v>
      </c>
      <c r="B33" s="8" t="s">
        <v>121</v>
      </c>
      <c r="C33" s="9" t="n">
        <f aca="false">COUNTIF('ROW Features'!$Z$4:$Z$326,A33)</f>
        <v>6</v>
      </c>
      <c r="D33" s="9" t="n">
        <f aca="false">_xlfn.MINIFS('ROW Features'!$AB$4:$AB$326,'ROW Features'!$Z$4:$Z$326,A33)</f>
        <v>277</v>
      </c>
      <c r="E33" s="9" t="n">
        <f aca="false">_xlfn.MAXIFS('ROW Features'!$AB$4:$AB$326,'ROW Features'!$Z$4:$Z$326,A33)</f>
        <v>282</v>
      </c>
      <c r="F33" s="9" t="s">
        <v>99</v>
      </c>
      <c r="G33" s="8" t="s">
        <v>122</v>
      </c>
    </row>
    <row r="34" customFormat="false" ht="23.85" hidden="false" customHeight="false" outlineLevel="0" collapsed="false">
      <c r="A34" s="7" t="s">
        <v>123</v>
      </c>
      <c r="B34" s="8" t="s">
        <v>124</v>
      </c>
      <c r="C34" s="9" t="n">
        <f aca="false">COUNTIF('ROW Features'!$Z$4:$Z$326,A34)</f>
        <v>7</v>
      </c>
      <c r="D34" s="9" t="n">
        <f aca="false">_xlfn.MINIFS('ROW Features'!$AB$4:$AB$326,'ROW Features'!$Z$4:$Z$326,A34)</f>
        <v>283</v>
      </c>
      <c r="E34" s="9" t="n">
        <f aca="false">_xlfn.MAXIFS('ROW Features'!$AB$4:$AB$326,'ROW Features'!$Z$4:$Z$326,A34)</f>
        <v>289</v>
      </c>
      <c r="F34" s="9" t="s">
        <v>102</v>
      </c>
      <c r="G34" s="8" t="s">
        <v>125</v>
      </c>
    </row>
    <row r="35" customFormat="false" ht="15" hidden="false" customHeight="false" outlineLevel="0" collapsed="false">
      <c r="A35" s="7" t="s">
        <v>126</v>
      </c>
      <c r="B35" s="8" t="s">
        <v>127</v>
      </c>
      <c r="C35" s="9" t="n">
        <f aca="false">COUNTIF('ROW Features'!$Z$4:$Z$326,A35)</f>
        <v>5</v>
      </c>
      <c r="D35" s="9" t="n">
        <f aca="false">_xlfn.MINIFS('ROW Features'!$AB$4:$AB$326,'ROW Features'!$Z$4:$Z$326,A35)</f>
        <v>290</v>
      </c>
      <c r="E35" s="9" t="n">
        <f aca="false">_xlfn.MAXIFS('ROW Features'!$AB$4:$AB$326,'ROW Features'!$Z$4:$Z$326,A35)</f>
        <v>294</v>
      </c>
      <c r="F35" s="9" t="s">
        <v>105</v>
      </c>
      <c r="G35" s="8" t="s">
        <v>128</v>
      </c>
    </row>
    <row r="36" customFormat="false" ht="15" hidden="false" customHeight="false" outlineLevel="0" collapsed="false">
      <c r="A36" s="7" t="s">
        <v>129</v>
      </c>
      <c r="B36" s="8" t="s">
        <v>130</v>
      </c>
      <c r="C36" s="9" t="n">
        <f aca="false">COUNTIF('ROW Features'!$Z$4:$Z$326,A36)</f>
        <v>8</v>
      </c>
      <c r="D36" s="9" t="n">
        <f aca="false">_xlfn.MINIFS('ROW Features'!$AB$4:$AB$326,'ROW Features'!$Z$4:$Z$326,A36)</f>
        <v>295</v>
      </c>
      <c r="E36" s="9" t="n">
        <f aca="false">_xlfn.MAXIFS('ROW Features'!$AB$4:$AB$326,'ROW Features'!$Z$4:$Z$326,A36)</f>
        <v>302</v>
      </c>
      <c r="F36" s="9" t="s">
        <v>108</v>
      </c>
      <c r="G36" s="8" t="s">
        <v>131</v>
      </c>
    </row>
    <row r="37" customFormat="false" ht="23.85" hidden="false" customHeight="false" outlineLevel="0" collapsed="false">
      <c r="A37" s="7" t="s">
        <v>132</v>
      </c>
      <c r="B37" s="8" t="s">
        <v>133</v>
      </c>
      <c r="C37" s="9" t="n">
        <f aca="false">COUNTIF('ROW Features'!$Z$4:$Z$326,A37)</f>
        <v>7</v>
      </c>
      <c r="D37" s="9" t="n">
        <f aca="false">_xlfn.MINIFS('ROW Features'!$AB$4:$AB$326,'ROW Features'!$Z$4:$Z$326,A37)</f>
        <v>303</v>
      </c>
      <c r="E37" s="9" t="n">
        <f aca="false">_xlfn.MAXIFS('ROW Features'!$AB$4:$AB$326,'ROW Features'!$Z$4:$Z$326,A37)</f>
        <v>309</v>
      </c>
      <c r="F37" s="9" t="s">
        <v>111</v>
      </c>
      <c r="G37" s="8" t="s">
        <v>134</v>
      </c>
    </row>
    <row r="38" customFormat="false" ht="23.85" hidden="false" customHeight="false" outlineLevel="0" collapsed="false">
      <c r="A38" s="7" t="s">
        <v>135</v>
      </c>
      <c r="B38" s="8" t="s">
        <v>136</v>
      </c>
      <c r="C38" s="9" t="n">
        <f aca="false">COUNTIF('ROW Features'!$Z$4:$Z$326,A38)</f>
        <v>9</v>
      </c>
      <c r="D38" s="9" t="n">
        <f aca="false">_xlfn.MINIFS('ROW Features'!$AB$4:$AB$326,'ROW Features'!$Z$4:$Z$326,A38)</f>
        <v>310</v>
      </c>
      <c r="E38" s="9" t="n">
        <f aca="false">_xlfn.MAXIFS('ROW Features'!$AB$4:$AB$326,'ROW Features'!$Z$4:$Z$326,A38)</f>
        <v>318</v>
      </c>
      <c r="F38" s="9" t="s">
        <v>114</v>
      </c>
      <c r="G38" s="8" t="s">
        <v>137</v>
      </c>
    </row>
    <row r="39" customFormat="false" ht="15" hidden="false" customHeight="false" outlineLevel="0" collapsed="false">
      <c r="A39" s="7" t="s">
        <v>138</v>
      </c>
      <c r="B39" s="8" t="s">
        <v>139</v>
      </c>
      <c r="C39" s="9" t="n">
        <f aca="false">COUNTIF('ROW Features'!$Z$4:$Z$326,A39)</f>
        <v>5</v>
      </c>
      <c r="D39" s="9" t="n">
        <f aca="false">_xlfn.MINIFS('ROW Features'!$AB$4:$AB$326,'ROW Features'!$Z$4:$Z$326,A39)</f>
        <v>319</v>
      </c>
      <c r="E39" s="9" t="n">
        <f aca="false">_xlfn.MAXIFS('ROW Features'!$AB$4:$AB$326,'ROW Features'!$Z$4:$Z$326,A39)</f>
        <v>323</v>
      </c>
      <c r="F39" s="9" t="s">
        <v>117</v>
      </c>
      <c r="G39" s="8" t="s">
        <v>140</v>
      </c>
    </row>
    <row r="40" customFormat="false" ht="15" hidden="false" customHeight="false" outlineLevel="0" collapsed="false">
      <c r="B40" s="10" t="s">
        <v>141</v>
      </c>
      <c r="C40" s="10" t="n">
        <f aca="false">SUM(C5:C39)</f>
        <v>323</v>
      </c>
    </row>
    <row r="42" customFormat="false" ht="15" hidden="false" customHeight="false" outlineLevel="0" collapsed="false">
      <c r="A42" s="10" t="s">
        <v>142</v>
      </c>
    </row>
    <row r="43" customFormat="false" ht="15" hidden="false" customHeight="false" outlineLevel="0" collapsed="false">
      <c r="A43" s="5" t="s">
        <v>143</v>
      </c>
    </row>
    <row r="44" customFormat="false" ht="15" hidden="false" customHeight="false" outlineLevel="0" collapsed="false">
      <c r="A44" s="5" t="s">
        <v>144</v>
      </c>
    </row>
    <row r="45" customFormat="false" ht="15" hidden="false" customHeight="false" outlineLevel="0" collapsed="false">
      <c r="A45" s="5" t="s">
        <v>145</v>
      </c>
    </row>
    <row r="46" customFormat="false" ht="15" hidden="false" customHeight="false" outlineLevel="0" collapsed="false">
      <c r="A46" s="5" t="s">
        <v>146</v>
      </c>
    </row>
    <row r="47" customFormat="false" ht="15" hidden="false" customHeight="false" outlineLevel="0" collapsed="false">
      <c r="A47" s="5" t="s">
        <v>147</v>
      </c>
    </row>
    <row r="48" customFormat="false" ht="15" hidden="false" customHeight="false" outlineLevel="0" collapsed="false">
      <c r="A48" s="5" t="s">
        <v>148</v>
      </c>
    </row>
    <row r="49" customFormat="false" ht="15" hidden="false" customHeight="false" outlineLevel="0" collapsed="false">
      <c r="A49" s="5" t="s">
        <v>149</v>
      </c>
    </row>
    <row r="50" customFormat="false" ht="15" hidden="false" customHeight="false" outlineLevel="0" collapsed="false">
      <c r="A50" s="5" t="s">
        <v>150</v>
      </c>
    </row>
    <row r="52" customFormat="false" ht="15" hidden="false" customHeight="false" outlineLevel="0" collapsed="false">
      <c r="A52" s="10" t="s">
        <v>151</v>
      </c>
    </row>
    <row r="53" customFormat="false" ht="15" hidden="false" customHeight="false" outlineLevel="0" collapsed="false">
      <c r="A53" s="5" t="s">
        <v>152</v>
      </c>
    </row>
    <row r="54" customFormat="false" ht="15" hidden="false" customHeight="false" outlineLevel="0" collapsed="false">
      <c r="A54" s="5" t="s">
        <v>153</v>
      </c>
    </row>
    <row r="55" customFormat="false" ht="15" hidden="false" customHeight="false" outlineLevel="0" collapsed="false">
      <c r="A55" s="5" t="s">
        <v>154</v>
      </c>
    </row>
    <row r="56" customFormat="false" ht="15" hidden="false" customHeight="false" outlineLevel="0" collapsed="false">
      <c r="A56" s="5" t="s">
        <v>155</v>
      </c>
    </row>
    <row r="57" customFormat="false" ht="15" hidden="false" customHeight="false" outlineLevel="0" collapsed="false">
      <c r="A57" s="5" t="s">
        <v>156</v>
      </c>
    </row>
    <row r="58" customFormat="false" ht="15" hidden="false" customHeight="false" outlineLevel="0" collapsed="false">
      <c r="A58" s="5" t="s">
        <v>157</v>
      </c>
    </row>
    <row r="59" customFormat="false" ht="15" hidden="false" customHeight="false" outlineLevel="0" collapsed="false">
      <c r="A59" s="5" t="s">
        <v>158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326"/>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5" ySplit="3" topLeftCell="F66" activePane="bottomRight" state="frozen"/>
      <selection pane="topLeft" activeCell="A1" activeCellId="0" sqref="A1"/>
      <selection pane="topRight" activeCell="F1" activeCellId="0" sqref="F1"/>
      <selection pane="bottomLeft" activeCell="A66" activeCellId="0" sqref="A66"/>
      <selection pane="bottomRight" activeCell="L70" activeCellId="0" sqref="L70"/>
    </sheetView>
  </sheetViews>
  <sheetFormatPr defaultColWidth="8.6328125" defaultRowHeight="14.2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3" min="3" style="0" width="24"/>
    <col collapsed="false" customWidth="true" hidden="false" outlineLevel="0" max="4" min="4" style="0" width="20"/>
    <col collapsed="false" customWidth="true" hidden="false" outlineLevel="0" max="5" min="5" style="0" width="36"/>
    <col collapsed="false" customWidth="true" hidden="false" outlineLevel="0" max="6" min="6" style="0" width="70"/>
    <col collapsed="false" customWidth="true" hidden="false" outlineLevel="0" max="7" min="7" style="0" width="13"/>
    <col collapsed="false" customWidth="true" hidden="false" outlineLevel="0" max="8" min="8" style="0" width="17"/>
    <col collapsed="false" customWidth="true" hidden="false" outlineLevel="0" max="9" min="9" style="0" width="9"/>
    <col collapsed="false" customWidth="true" hidden="false" outlineLevel="0" max="10" min="10" style="0" width="10"/>
    <col collapsed="false" customWidth="true" hidden="false" outlineLevel="0" max="11" min="11" style="0" width="14"/>
    <col collapsed="false" customWidth="true" hidden="false" outlineLevel="0" max="12" min="12" style="0" width="22"/>
    <col collapsed="false" customWidth="true" hidden="false" outlineLevel="0" max="18" min="13" style="0" width="6"/>
    <col collapsed="false" customWidth="true" hidden="false" outlineLevel="0" max="19" min="19" style="0" width="70"/>
    <col collapsed="false" customWidth="true" hidden="false" outlineLevel="0" max="21" min="20" style="0" width="24"/>
    <col collapsed="false" customWidth="true" hidden="false" outlineLevel="0" max="22" min="22" style="0" width="17"/>
    <col collapsed="false" customWidth="true" hidden="false" outlineLevel="0" max="23" min="23" style="0" width="42"/>
    <col collapsed="false" customWidth="true" hidden="false" outlineLevel="0" max="24" min="24" style="0" width="48"/>
    <col collapsed="false" customWidth="true" hidden="false" outlineLevel="0" max="25" min="25" style="0" width="28"/>
    <col collapsed="false" customWidth="true" hidden="false" outlineLevel="0" max="26" min="26" style="0" width="9"/>
    <col collapsed="false" customWidth="true" hidden="false" outlineLevel="0" max="27" min="27" style="0" width="36"/>
    <col collapsed="false" customWidth="true" hidden="false" outlineLevel="0" max="28" min="28" style="0" width="14"/>
    <col collapsed="false" customWidth="true" hidden="false" outlineLevel="0" max="29" min="29" style="0" width="32"/>
  </cols>
  <sheetData>
    <row r="1" customFormat="false" ht="14.25" hidden="false" customHeight="false" outlineLevel="0" collapsed="false">
      <c r="A1" s="11" t="s">
        <v>159</v>
      </c>
      <c r="B1" s="11"/>
      <c r="C1" s="11"/>
      <c r="D1" s="11"/>
      <c r="E1" s="11"/>
      <c r="F1" s="11"/>
      <c r="G1" s="11"/>
      <c r="H1" s="11"/>
      <c r="I1" s="11"/>
      <c r="J1" s="11"/>
      <c r="K1" s="11"/>
      <c r="L1" s="11"/>
    </row>
    <row r="3" customFormat="false" ht="42" hidden="false" customHeight="true" outlineLevel="0" collapsed="false">
      <c r="A3" s="6" t="s">
        <v>160</v>
      </c>
      <c r="B3" s="6" t="s">
        <v>161</v>
      </c>
      <c r="C3" s="6" t="s">
        <v>162</v>
      </c>
      <c r="D3" s="6" t="s">
        <v>163</v>
      </c>
      <c r="E3" s="6" t="s">
        <v>164</v>
      </c>
      <c r="F3" s="6" t="s">
        <v>165</v>
      </c>
      <c r="G3" s="6" t="s">
        <v>166</v>
      </c>
      <c r="H3" s="6" t="s">
        <v>167</v>
      </c>
      <c r="I3" s="6" t="s">
        <v>168</v>
      </c>
      <c r="J3" s="6" t="s">
        <v>169</v>
      </c>
      <c r="K3" s="6" t="s">
        <v>170</v>
      </c>
      <c r="L3" s="6" t="s">
        <v>11</v>
      </c>
      <c r="M3" s="6" t="s">
        <v>171</v>
      </c>
      <c r="N3" s="6" t="s">
        <v>172</v>
      </c>
      <c r="O3" s="6" t="s">
        <v>173</v>
      </c>
      <c r="P3" s="6" t="s">
        <v>174</v>
      </c>
      <c r="Q3" s="6" t="s">
        <v>175</v>
      </c>
      <c r="R3" s="6" t="s">
        <v>176</v>
      </c>
      <c r="S3" s="6" t="s">
        <v>177</v>
      </c>
      <c r="T3" s="6" t="s">
        <v>178</v>
      </c>
      <c r="U3" s="6" t="s">
        <v>179</v>
      </c>
      <c r="V3" s="6" t="s">
        <v>180</v>
      </c>
      <c r="W3" s="6" t="s">
        <v>181</v>
      </c>
      <c r="X3" s="6" t="s">
        <v>182</v>
      </c>
      <c r="Y3" s="6" t="s">
        <v>183</v>
      </c>
      <c r="Z3" s="6" t="s">
        <v>27</v>
      </c>
      <c r="AA3" s="6" t="s">
        <v>184</v>
      </c>
      <c r="AB3" s="6" t="s">
        <v>185</v>
      </c>
      <c r="AC3" s="6" t="s">
        <v>186</v>
      </c>
    </row>
    <row r="4" customFormat="false" ht="37.5" hidden="false" customHeight="true" outlineLevel="0" collapsed="false">
      <c r="A4" s="12" t="s">
        <v>187</v>
      </c>
      <c r="B4" s="8" t="s">
        <v>188</v>
      </c>
      <c r="C4" s="8" t="s">
        <v>189</v>
      </c>
      <c r="D4" s="8" t="s">
        <v>190</v>
      </c>
      <c r="E4" s="8" t="s">
        <v>191</v>
      </c>
      <c r="F4" s="8" t="s">
        <v>192</v>
      </c>
      <c r="G4" s="8" t="s">
        <v>193</v>
      </c>
      <c r="H4" s="8" t="str">
        <f aca="false">IF(COUNTIF(M4:R4,"M")&gt;0,"Must Have",IF(COUNTIF(M4:R4,"S")&gt;0,"Should Have",IF(COUNTIF(M4:R4,"C")&gt;0,"Could Have",IF(COUNTA(M4:R4)&gt;0,"Stated – no priority","Aurigo-only (no RFP source)"))))</f>
        <v>Must Have</v>
      </c>
      <c r="I4" s="12" t="n">
        <f aca="false">COUNTA(M4:R4)</f>
        <v>2</v>
      </c>
      <c r="J4" s="12" t="n">
        <f aca="false">COUNTIF(M4:R4,"M")</f>
        <v>1</v>
      </c>
      <c r="K4" s="8" t="str">
        <f aca="false">IF(I4=0,"Aurigo-only",IF(I4=1,"Single source",IF(I4=2,"Two sources",IF(I4&lt;=4,"Common (3-4)","Broad (5+)"))))</f>
        <v>Two sources</v>
      </c>
      <c r="L4" s="8" t="str">
        <f aca="false">IF(J4&gt;=3,"Tier 1: Must in 3+ sources",IF(J4=2,"Tier 2: Must in 2 sources",IF(J4=1,"Tier 3: Must in 1 source",IF(COUNTIF(M4:R4,"S")&gt;0,"Tier 4: Should only",IF(COUNTIF(M4:R4,"C")&gt;0,"Tier 5: Could only",IF(I4&gt;0,"Tier 6: stated, no priority","Aurigo-only"))))))</f>
        <v>Tier 3: Must in 1 source</v>
      </c>
      <c r="M4" s="12"/>
      <c r="N4" s="12" t="s">
        <v>194</v>
      </c>
      <c r="O4" s="12"/>
      <c r="P4" s="12" t="s">
        <v>195</v>
      </c>
      <c r="Q4" s="12"/>
      <c r="R4" s="12"/>
      <c r="S4" s="8" t="s">
        <v>196</v>
      </c>
      <c r="T4" s="8"/>
      <c r="U4" s="8"/>
      <c r="V4" s="8" t="s">
        <v>197</v>
      </c>
      <c r="W4" s="8" t="s">
        <v>198</v>
      </c>
      <c r="X4" s="8"/>
      <c r="Y4" s="8"/>
      <c r="Z4" s="7" t="s">
        <v>37</v>
      </c>
      <c r="AA4" s="8" t="s">
        <v>38</v>
      </c>
      <c r="AB4" s="9" t="n">
        <v>14</v>
      </c>
      <c r="AC4" s="8" t="s">
        <v>199</v>
      </c>
    </row>
    <row r="5" customFormat="false" ht="24.75" hidden="false" customHeight="true" outlineLevel="0" collapsed="false">
      <c r="A5" s="12" t="s">
        <v>200</v>
      </c>
      <c r="B5" s="8" t="s">
        <v>188</v>
      </c>
      <c r="C5" s="8" t="s">
        <v>189</v>
      </c>
      <c r="D5" s="8" t="s">
        <v>190</v>
      </c>
      <c r="E5" s="8" t="s">
        <v>201</v>
      </c>
      <c r="F5" s="8" t="s">
        <v>202</v>
      </c>
      <c r="G5" s="8" t="s">
        <v>193</v>
      </c>
      <c r="H5" s="8" t="str">
        <f aca="false">IF(COUNTIF(M5:R5,"M")&gt;0,"Must Have",IF(COUNTIF(M5:R5,"S")&gt;0,"Should Have",IF(COUNTIF(M5:R5,"C")&gt;0,"Could Have",IF(COUNTA(M5:R5)&gt;0,"Stated – no priority","Aurigo-only (no RFP source)"))))</f>
        <v>Must Have</v>
      </c>
      <c r="I5" s="12" t="n">
        <f aca="false">COUNTA(M5:R5)</f>
        <v>1</v>
      </c>
      <c r="J5" s="12" t="n">
        <f aca="false">COUNTIF(M5:R5,"M")</f>
        <v>1</v>
      </c>
      <c r="K5" s="8" t="str">
        <f aca="false">IF(I5=0,"Aurigo-only",IF(I5=1,"Single source",IF(I5=2,"Two sources",IF(I5&lt;=4,"Common (3-4)","Broad (5+)"))))</f>
        <v>Single source</v>
      </c>
      <c r="L5" s="8" t="str">
        <f aca="false">IF(J5&gt;=3,"Tier 1: Must in 3+ sources",IF(J5=2,"Tier 2: Must in 2 sources",IF(J5=1,"Tier 3: Must in 1 source",IF(COUNTIF(M5:R5,"S")&gt;0,"Tier 4: Should only",IF(COUNTIF(M5:R5,"C")&gt;0,"Tier 5: Could only",IF(I5&gt;0,"Tier 6: stated, no priority","Aurigo-only"))))))</f>
        <v>Tier 3: Must in 1 source</v>
      </c>
      <c r="M5" s="12"/>
      <c r="N5" s="12" t="s">
        <v>194</v>
      </c>
      <c r="O5" s="12"/>
      <c r="P5" s="12"/>
      <c r="Q5" s="12"/>
      <c r="R5" s="12"/>
      <c r="S5" s="8" t="s">
        <v>203</v>
      </c>
      <c r="T5" s="8"/>
      <c r="U5" s="8"/>
      <c r="V5" s="8" t="s">
        <v>204</v>
      </c>
      <c r="W5" s="8" t="s">
        <v>205</v>
      </c>
      <c r="X5" s="8"/>
      <c r="Y5" s="8"/>
      <c r="Z5" s="7" t="s">
        <v>37</v>
      </c>
      <c r="AA5" s="8" t="s">
        <v>38</v>
      </c>
      <c r="AB5" s="9" t="n">
        <v>17</v>
      </c>
      <c r="AC5" s="8" t="s">
        <v>187</v>
      </c>
    </row>
    <row r="6" customFormat="false" ht="75" hidden="false" customHeight="true" outlineLevel="0" collapsed="false">
      <c r="A6" s="12" t="s">
        <v>206</v>
      </c>
      <c r="B6" s="8" t="s">
        <v>188</v>
      </c>
      <c r="C6" s="8" t="s">
        <v>189</v>
      </c>
      <c r="D6" s="8" t="s">
        <v>190</v>
      </c>
      <c r="E6" s="8" t="s">
        <v>207</v>
      </c>
      <c r="F6" s="8" t="s">
        <v>208</v>
      </c>
      <c r="G6" s="8" t="s">
        <v>193</v>
      </c>
      <c r="H6" s="8" t="str">
        <f aca="false">IF(COUNTIF(M6:R6,"M")&gt;0,"Must Have",IF(COUNTIF(M6:R6,"S")&gt;0,"Should Have",IF(COUNTIF(M6:R6,"C")&gt;0,"Could Have",IF(COUNTA(M6:R6)&gt;0,"Stated – no priority","Aurigo-only (no RFP source)"))))</f>
        <v>Must Have</v>
      </c>
      <c r="I6" s="12" t="n">
        <f aca="false">COUNTA(M6:R6)</f>
        <v>3</v>
      </c>
      <c r="J6" s="12" t="n">
        <f aca="false">COUNTIF(M6:R6,"M")</f>
        <v>2</v>
      </c>
      <c r="K6" s="8" t="str">
        <f aca="false">IF(I6=0,"Aurigo-only",IF(I6=1,"Single source",IF(I6=2,"Two sources",IF(I6&lt;=4,"Common (3-4)","Broad (5+)"))))</f>
        <v>Common (3-4)</v>
      </c>
      <c r="L6" s="8" t="str">
        <f aca="false">IF(J6&gt;=3,"Tier 1: Must in 3+ sources",IF(J6=2,"Tier 2: Must in 2 sources",IF(J6=1,"Tier 3: Must in 1 source",IF(COUNTIF(M6:R6,"S")&gt;0,"Tier 4: Should only",IF(COUNTIF(M6:R6,"C")&gt;0,"Tier 5: Could only",IF(I6&gt;0,"Tier 6: stated, no priority","Aurigo-only"))))))</f>
        <v>Tier 2: Must in 2 sources</v>
      </c>
      <c r="M6" s="12" t="s">
        <v>194</v>
      </c>
      <c r="N6" s="12" t="s">
        <v>194</v>
      </c>
      <c r="O6" s="12"/>
      <c r="P6" s="12" t="s">
        <v>195</v>
      </c>
      <c r="Q6" s="12"/>
      <c r="R6" s="12"/>
      <c r="S6" s="8" t="s">
        <v>209</v>
      </c>
      <c r="T6" s="8"/>
      <c r="U6" s="8"/>
      <c r="V6" s="8" t="s">
        <v>204</v>
      </c>
      <c r="W6" s="8" t="s">
        <v>205</v>
      </c>
      <c r="X6" s="8" t="s">
        <v>210</v>
      </c>
      <c r="Y6" s="8"/>
      <c r="Z6" s="7" t="s">
        <v>37</v>
      </c>
      <c r="AA6" s="8" t="s">
        <v>38</v>
      </c>
      <c r="AB6" s="9" t="n">
        <v>16</v>
      </c>
      <c r="AC6" s="8" t="s">
        <v>187</v>
      </c>
    </row>
    <row r="7" customFormat="false" ht="37.5" hidden="false" customHeight="true" outlineLevel="0" collapsed="false">
      <c r="A7" s="12" t="s">
        <v>211</v>
      </c>
      <c r="B7" s="8" t="s">
        <v>188</v>
      </c>
      <c r="C7" s="8" t="s">
        <v>189</v>
      </c>
      <c r="D7" s="8" t="s">
        <v>190</v>
      </c>
      <c r="E7" s="8" t="s">
        <v>212</v>
      </c>
      <c r="F7" s="8" t="s">
        <v>213</v>
      </c>
      <c r="G7" s="8" t="s">
        <v>193</v>
      </c>
      <c r="H7" s="8" t="str">
        <f aca="false">IF(COUNTIF(M7:R7,"M")&gt;0,"Must Have",IF(COUNTIF(M7:R7,"S")&gt;0,"Should Have",IF(COUNTIF(M7:R7,"C")&gt;0,"Could Have",IF(COUNTA(M7:R7)&gt;0,"Stated – no priority","Aurigo-only (no RFP source)"))))</f>
        <v>Aurigo-only (no RFP source)</v>
      </c>
      <c r="I7" s="12" t="n">
        <f aca="false">COUNTA(M7:R7)</f>
        <v>0</v>
      </c>
      <c r="J7" s="12" t="n">
        <f aca="false">COUNTIF(M7:R7,"M")</f>
        <v>0</v>
      </c>
      <c r="K7" s="8" t="str">
        <f aca="false">IF(I7=0,"Aurigo-only",IF(I7=1,"Single source",IF(I7=2,"Two sources",IF(I7&lt;=4,"Common (3-4)","Broad (5+)"))))</f>
        <v>Aurigo-only</v>
      </c>
      <c r="L7" s="8" t="str">
        <f aca="false">IF(J7&gt;=3,"Tier 1: Must in 3+ sources",IF(J7=2,"Tier 2: Must in 2 sources",IF(J7=1,"Tier 3: Must in 1 source",IF(COUNTIF(M7:R7,"S")&gt;0,"Tier 4: Should only",IF(COUNTIF(M7:R7,"C")&gt;0,"Tier 5: Could only",IF(I7&gt;0,"Tier 6: stated, no priority","Aurigo-only"))))))</f>
        <v>Aurigo-only</v>
      </c>
      <c r="M7" s="12"/>
      <c r="N7" s="12"/>
      <c r="O7" s="12"/>
      <c r="P7" s="12"/>
      <c r="Q7" s="12"/>
      <c r="R7" s="12"/>
      <c r="S7" s="8"/>
      <c r="T7" s="8"/>
      <c r="U7" s="8"/>
      <c r="V7" s="8" t="s">
        <v>214</v>
      </c>
      <c r="W7" s="8" t="s">
        <v>215</v>
      </c>
      <c r="X7" s="8" t="s">
        <v>216</v>
      </c>
      <c r="Y7" s="8"/>
      <c r="Z7" s="7" t="s">
        <v>43</v>
      </c>
      <c r="AA7" s="8" t="s">
        <v>44</v>
      </c>
      <c r="AB7" s="9" t="n">
        <v>34</v>
      </c>
      <c r="AC7" s="8" t="s">
        <v>187</v>
      </c>
    </row>
    <row r="8" customFormat="false" ht="99.75" hidden="false" customHeight="true" outlineLevel="0" collapsed="false">
      <c r="A8" s="12" t="s">
        <v>217</v>
      </c>
      <c r="B8" s="8" t="s">
        <v>188</v>
      </c>
      <c r="C8" s="8" t="s">
        <v>189</v>
      </c>
      <c r="D8" s="8" t="s">
        <v>218</v>
      </c>
      <c r="E8" s="8" t="s">
        <v>219</v>
      </c>
      <c r="F8" s="8" t="s">
        <v>220</v>
      </c>
      <c r="G8" s="8" t="s">
        <v>193</v>
      </c>
      <c r="H8" s="8" t="str">
        <f aca="false">IF(COUNTIF(M8:R8,"M")&gt;0,"Must Have",IF(COUNTIF(M8:R8,"S")&gt;0,"Should Have",IF(COUNTIF(M8:R8,"C")&gt;0,"Could Have",IF(COUNTA(M8:R8)&gt;0,"Stated – no priority","Aurigo-only (no RFP source)"))))</f>
        <v>Must Have</v>
      </c>
      <c r="I8" s="12" t="n">
        <f aca="false">COUNTA(M8:R8)</f>
        <v>4</v>
      </c>
      <c r="J8" s="12" t="n">
        <f aca="false">COUNTIF(M8:R8,"M")</f>
        <v>3</v>
      </c>
      <c r="K8" s="8" t="str">
        <f aca="false">IF(I8=0,"Aurigo-only",IF(I8=1,"Single source",IF(I8=2,"Two sources",IF(I8&lt;=4,"Common (3-4)","Broad (5+)"))))</f>
        <v>Common (3-4)</v>
      </c>
      <c r="L8" s="8" t="str">
        <f aca="false">IF(J8&gt;=3,"Tier 1: Must in 3+ sources",IF(J8=2,"Tier 2: Must in 2 sources",IF(J8=1,"Tier 3: Must in 1 source",IF(COUNTIF(M8:R8,"S")&gt;0,"Tier 4: Should only",IF(COUNTIF(M8:R8,"C")&gt;0,"Tier 5: Could only",IF(I8&gt;0,"Tier 6: stated, no priority","Aurigo-only"))))))</f>
        <v>Tier 1: Must in 3+ sources</v>
      </c>
      <c r="M8" s="12" t="s">
        <v>194</v>
      </c>
      <c r="N8" s="12" t="s">
        <v>194</v>
      </c>
      <c r="O8" s="12"/>
      <c r="P8" s="12" t="s">
        <v>195</v>
      </c>
      <c r="Q8" s="12" t="s">
        <v>194</v>
      </c>
      <c r="R8" s="12"/>
      <c r="S8" s="8" t="s">
        <v>221</v>
      </c>
      <c r="T8" s="8"/>
      <c r="U8" s="8"/>
      <c r="V8" s="8" t="s">
        <v>197</v>
      </c>
      <c r="W8" s="8" t="s">
        <v>222</v>
      </c>
      <c r="X8" s="8"/>
      <c r="Y8" s="8"/>
      <c r="Z8" s="7" t="s">
        <v>37</v>
      </c>
      <c r="AA8" s="8" t="s">
        <v>38</v>
      </c>
      <c r="AB8" s="9" t="n">
        <v>15</v>
      </c>
      <c r="AC8" s="8" t="s">
        <v>187</v>
      </c>
    </row>
    <row r="9" customFormat="false" ht="24.75" hidden="false" customHeight="true" outlineLevel="0" collapsed="false">
      <c r="A9" s="12" t="s">
        <v>223</v>
      </c>
      <c r="B9" s="8" t="s">
        <v>188</v>
      </c>
      <c r="C9" s="8" t="s">
        <v>189</v>
      </c>
      <c r="D9" s="8" t="s">
        <v>218</v>
      </c>
      <c r="E9" s="8" t="s">
        <v>224</v>
      </c>
      <c r="F9" s="8" t="s">
        <v>225</v>
      </c>
      <c r="G9" s="8" t="s">
        <v>193</v>
      </c>
      <c r="H9" s="8" t="str">
        <f aca="false">IF(COUNTIF(M9:R9,"M")&gt;0,"Must Have",IF(COUNTIF(M9:R9,"S")&gt;0,"Should Have",IF(COUNTIF(M9:R9,"C")&gt;0,"Could Have",IF(COUNTA(M9:R9)&gt;0,"Stated – no priority","Aurigo-only (no RFP source)"))))</f>
        <v>Must Have</v>
      </c>
      <c r="I9" s="12" t="n">
        <f aca="false">COUNTA(M9:R9)</f>
        <v>1</v>
      </c>
      <c r="J9" s="12" t="n">
        <f aca="false">COUNTIF(M9:R9,"M")</f>
        <v>1</v>
      </c>
      <c r="K9" s="8" t="str">
        <f aca="false">IF(I9=0,"Aurigo-only",IF(I9=1,"Single source",IF(I9=2,"Two sources",IF(I9&lt;=4,"Common (3-4)","Broad (5+)"))))</f>
        <v>Single source</v>
      </c>
      <c r="L9" s="8" t="str">
        <f aca="false">IF(J9&gt;=3,"Tier 1: Must in 3+ sources",IF(J9=2,"Tier 2: Must in 2 sources",IF(J9=1,"Tier 3: Must in 1 source",IF(COUNTIF(M9:R9,"S")&gt;0,"Tier 4: Should only",IF(COUNTIF(M9:R9,"C")&gt;0,"Tier 5: Could only",IF(I9&gt;0,"Tier 6: stated, no priority","Aurigo-only"))))))</f>
        <v>Tier 3: Must in 1 source</v>
      </c>
      <c r="M9" s="12" t="s">
        <v>194</v>
      </c>
      <c r="N9" s="12"/>
      <c r="O9" s="12"/>
      <c r="P9" s="12"/>
      <c r="Q9" s="12"/>
      <c r="R9" s="12"/>
      <c r="S9" s="8" t="s">
        <v>226</v>
      </c>
      <c r="T9" s="8"/>
      <c r="U9" s="8"/>
      <c r="V9" s="8" t="s">
        <v>227</v>
      </c>
      <c r="W9" s="8" t="s">
        <v>228</v>
      </c>
      <c r="X9" s="8"/>
      <c r="Y9" s="8"/>
      <c r="Z9" s="7" t="s">
        <v>43</v>
      </c>
      <c r="AA9" s="8" t="s">
        <v>44</v>
      </c>
      <c r="AB9" s="9" t="n">
        <v>39</v>
      </c>
      <c r="AC9" s="8" t="s">
        <v>217</v>
      </c>
    </row>
    <row r="10" customFormat="false" ht="49.5" hidden="false" customHeight="true" outlineLevel="0" collapsed="false">
      <c r="A10" s="12" t="s">
        <v>229</v>
      </c>
      <c r="B10" s="8" t="s">
        <v>188</v>
      </c>
      <c r="C10" s="8" t="s">
        <v>189</v>
      </c>
      <c r="D10" s="8" t="s">
        <v>218</v>
      </c>
      <c r="E10" s="8" t="s">
        <v>230</v>
      </c>
      <c r="F10" s="8" t="s">
        <v>231</v>
      </c>
      <c r="G10" s="8" t="s">
        <v>193</v>
      </c>
      <c r="H10" s="8" t="str">
        <f aca="false">IF(COUNTIF(M10:R10,"M")&gt;0,"Must Have",IF(COUNTIF(M10:R10,"S")&gt;0,"Should Have",IF(COUNTIF(M10:R10,"C")&gt;0,"Could Have",IF(COUNTA(M10:R10)&gt;0,"Stated – no priority","Aurigo-only (no RFP source)"))))</f>
        <v>Must Have</v>
      </c>
      <c r="I10" s="12" t="n">
        <f aca="false">COUNTA(M10:R10)</f>
        <v>2</v>
      </c>
      <c r="J10" s="12" t="n">
        <f aca="false">COUNTIF(M10:R10,"M")</f>
        <v>1</v>
      </c>
      <c r="K10" s="8" t="str">
        <f aca="false">IF(I10=0,"Aurigo-only",IF(I10=1,"Single source",IF(I10=2,"Two sources",IF(I10&lt;=4,"Common (3-4)","Broad (5+)"))))</f>
        <v>Two sources</v>
      </c>
      <c r="L10" s="8" t="str">
        <f aca="false">IF(J10&gt;=3,"Tier 1: Must in 3+ sources",IF(J10=2,"Tier 2: Must in 2 sources",IF(J10=1,"Tier 3: Must in 1 source",IF(COUNTIF(M10:R10,"S")&gt;0,"Tier 4: Should only",IF(COUNTIF(M10:R10,"C")&gt;0,"Tier 5: Could only",IF(I10&gt;0,"Tier 6: stated, no priority","Aurigo-only"))))))</f>
        <v>Tier 3: Must in 1 source</v>
      </c>
      <c r="M10" s="12" t="s">
        <v>232</v>
      </c>
      <c r="N10" s="12" t="s">
        <v>194</v>
      </c>
      <c r="O10" s="12"/>
      <c r="P10" s="12"/>
      <c r="Q10" s="12"/>
      <c r="R10" s="12"/>
      <c r="S10" s="8" t="s">
        <v>233</v>
      </c>
      <c r="T10" s="8"/>
      <c r="U10" s="8"/>
      <c r="V10" s="8" t="s">
        <v>197</v>
      </c>
      <c r="W10" s="8" t="s">
        <v>234</v>
      </c>
      <c r="X10" s="8"/>
      <c r="Y10" s="8"/>
      <c r="Z10" s="7" t="s">
        <v>43</v>
      </c>
      <c r="AA10" s="8" t="s">
        <v>44</v>
      </c>
      <c r="AB10" s="9" t="n">
        <v>38</v>
      </c>
      <c r="AC10" s="8" t="s">
        <v>217</v>
      </c>
    </row>
    <row r="11" customFormat="false" ht="24.75" hidden="false" customHeight="true" outlineLevel="0" collapsed="false">
      <c r="A11" s="12" t="s">
        <v>235</v>
      </c>
      <c r="B11" s="8" t="s">
        <v>188</v>
      </c>
      <c r="C11" s="8" t="s">
        <v>189</v>
      </c>
      <c r="D11" s="8" t="s">
        <v>218</v>
      </c>
      <c r="E11" s="8" t="s">
        <v>236</v>
      </c>
      <c r="F11" s="8" t="s">
        <v>237</v>
      </c>
      <c r="G11" s="8" t="s">
        <v>193</v>
      </c>
      <c r="H11" s="8" t="str">
        <f aca="false">IF(COUNTIF(M11:R11,"M")&gt;0,"Must Have",IF(COUNTIF(M11:R11,"S")&gt;0,"Should Have",IF(COUNTIF(M11:R11,"C")&gt;0,"Could Have",IF(COUNTA(M11:R11)&gt;0,"Stated – no priority","Aurigo-only (no RFP source)"))))</f>
        <v>Must Have</v>
      </c>
      <c r="I11" s="12" t="n">
        <f aca="false">COUNTA(M11:R11)</f>
        <v>1</v>
      </c>
      <c r="J11" s="12" t="n">
        <f aca="false">COUNTIF(M11:R11,"M")</f>
        <v>1</v>
      </c>
      <c r="K11" s="8" t="str">
        <f aca="false">IF(I11=0,"Aurigo-only",IF(I11=1,"Single source",IF(I11=2,"Two sources",IF(I11&lt;=4,"Common (3-4)","Broad (5+)"))))</f>
        <v>Single source</v>
      </c>
      <c r="L11" s="8" t="str">
        <f aca="false">IF(J11&gt;=3,"Tier 1: Must in 3+ sources",IF(J11=2,"Tier 2: Must in 2 sources",IF(J11=1,"Tier 3: Must in 1 source",IF(COUNTIF(M11:R11,"S")&gt;0,"Tier 4: Should only",IF(COUNTIF(M11:R11,"C")&gt;0,"Tier 5: Could only",IF(I11&gt;0,"Tier 6: stated, no priority","Aurigo-only"))))))</f>
        <v>Tier 3: Must in 1 source</v>
      </c>
      <c r="M11" s="12" t="s">
        <v>194</v>
      </c>
      <c r="N11" s="12"/>
      <c r="O11" s="12"/>
      <c r="P11" s="12"/>
      <c r="Q11" s="12"/>
      <c r="R11" s="12"/>
      <c r="S11" s="8" t="s">
        <v>238</v>
      </c>
      <c r="T11" s="8"/>
      <c r="U11" s="8"/>
      <c r="V11" s="8" t="s">
        <v>204</v>
      </c>
      <c r="W11" s="8" t="s">
        <v>205</v>
      </c>
      <c r="X11" s="8"/>
      <c r="Y11" s="8"/>
      <c r="Z11" s="7" t="s">
        <v>43</v>
      </c>
      <c r="AA11" s="8" t="s">
        <v>44</v>
      </c>
      <c r="AB11" s="9" t="n">
        <v>40</v>
      </c>
      <c r="AC11" s="8" t="s">
        <v>217</v>
      </c>
    </row>
    <row r="12" customFormat="false" ht="24.75" hidden="false" customHeight="true" outlineLevel="0" collapsed="false">
      <c r="A12" s="12" t="s">
        <v>239</v>
      </c>
      <c r="B12" s="8" t="s">
        <v>188</v>
      </c>
      <c r="C12" s="8" t="s">
        <v>189</v>
      </c>
      <c r="D12" s="8" t="s">
        <v>218</v>
      </c>
      <c r="E12" s="8" t="s">
        <v>240</v>
      </c>
      <c r="F12" s="8" t="s">
        <v>241</v>
      </c>
      <c r="G12" s="8" t="s">
        <v>193</v>
      </c>
      <c r="H12" s="8" t="str">
        <f aca="false">IF(COUNTIF(M12:R12,"M")&gt;0,"Must Have",IF(COUNTIF(M12:R12,"S")&gt;0,"Should Have",IF(COUNTIF(M12:R12,"C")&gt;0,"Could Have",IF(COUNTA(M12:R12)&gt;0,"Stated – no priority","Aurigo-only (no RFP source)"))))</f>
        <v>Must Have</v>
      </c>
      <c r="I12" s="12" t="n">
        <f aca="false">COUNTA(M12:R12)</f>
        <v>1</v>
      </c>
      <c r="J12" s="12" t="n">
        <f aca="false">COUNTIF(M12:R12,"M")</f>
        <v>1</v>
      </c>
      <c r="K12" s="8" t="str">
        <f aca="false">IF(I12=0,"Aurigo-only",IF(I12=1,"Single source",IF(I12=2,"Two sources",IF(I12&lt;=4,"Common (3-4)","Broad (5+)"))))</f>
        <v>Single source</v>
      </c>
      <c r="L12" s="8" t="str">
        <f aca="false">IF(J12&gt;=3,"Tier 1: Must in 3+ sources",IF(J12=2,"Tier 2: Must in 2 sources",IF(J12=1,"Tier 3: Must in 1 source",IF(COUNTIF(M12:R12,"S")&gt;0,"Tier 4: Should only",IF(COUNTIF(M12:R12,"C")&gt;0,"Tier 5: Could only",IF(I12&gt;0,"Tier 6: stated, no priority","Aurigo-only"))))))</f>
        <v>Tier 3: Must in 1 source</v>
      </c>
      <c r="M12" s="12"/>
      <c r="N12" s="12" t="s">
        <v>194</v>
      </c>
      <c r="O12" s="12"/>
      <c r="P12" s="12"/>
      <c r="Q12" s="12"/>
      <c r="R12" s="12"/>
      <c r="S12" s="8" t="s">
        <v>242</v>
      </c>
      <c r="T12" s="8"/>
      <c r="U12" s="8"/>
      <c r="V12" s="8" t="s">
        <v>227</v>
      </c>
      <c r="W12" s="8" t="s">
        <v>243</v>
      </c>
      <c r="X12" s="8"/>
      <c r="Y12" s="8"/>
      <c r="Z12" s="7" t="s">
        <v>43</v>
      </c>
      <c r="AA12" s="8" t="s">
        <v>44</v>
      </c>
      <c r="AB12" s="9" t="n">
        <v>41</v>
      </c>
      <c r="AC12" s="8" t="s">
        <v>244</v>
      </c>
    </row>
    <row r="13" customFormat="false" ht="49.5" hidden="false" customHeight="true" outlineLevel="0" collapsed="false">
      <c r="A13" s="12" t="s">
        <v>245</v>
      </c>
      <c r="B13" s="8" t="s">
        <v>188</v>
      </c>
      <c r="C13" s="8" t="s">
        <v>189</v>
      </c>
      <c r="D13" s="8" t="s">
        <v>218</v>
      </c>
      <c r="E13" s="8" t="s">
        <v>246</v>
      </c>
      <c r="F13" s="8" t="s">
        <v>247</v>
      </c>
      <c r="G13" s="8" t="s">
        <v>193</v>
      </c>
      <c r="H13" s="8" t="str">
        <f aca="false">IF(COUNTIF(M13:R13,"M")&gt;0,"Must Have",IF(COUNTIF(M13:R13,"S")&gt;0,"Should Have",IF(COUNTIF(M13:R13,"C")&gt;0,"Could Have",IF(COUNTA(M13:R13)&gt;0,"Stated – no priority","Aurigo-only (no RFP source)"))))</f>
        <v>Must Have</v>
      </c>
      <c r="I13" s="12" t="n">
        <f aca="false">COUNTA(M13:R13)</f>
        <v>2</v>
      </c>
      <c r="J13" s="12" t="n">
        <f aca="false">COUNTIF(M13:R13,"M")</f>
        <v>2</v>
      </c>
      <c r="K13" s="8" t="str">
        <f aca="false">IF(I13=0,"Aurigo-only",IF(I13=1,"Single source",IF(I13=2,"Two sources",IF(I13&lt;=4,"Common (3-4)","Broad (5+)"))))</f>
        <v>Two sources</v>
      </c>
      <c r="L13" s="8" t="str">
        <f aca="false">IF(J13&gt;=3,"Tier 1: Must in 3+ sources",IF(J13=2,"Tier 2: Must in 2 sources",IF(J13=1,"Tier 3: Must in 1 source",IF(COUNTIF(M13:R13,"S")&gt;0,"Tier 4: Should only",IF(COUNTIF(M13:R13,"C")&gt;0,"Tier 5: Could only",IF(I13&gt;0,"Tier 6: stated, no priority","Aurigo-only"))))))</f>
        <v>Tier 2: Must in 2 sources</v>
      </c>
      <c r="M13" s="12" t="s">
        <v>194</v>
      </c>
      <c r="N13" s="12"/>
      <c r="O13" s="12"/>
      <c r="P13" s="12"/>
      <c r="Q13" s="12" t="s">
        <v>194</v>
      </c>
      <c r="R13" s="12"/>
      <c r="S13" s="8" t="s">
        <v>248</v>
      </c>
      <c r="T13" s="8"/>
      <c r="U13" s="8"/>
      <c r="V13" s="8" t="s">
        <v>197</v>
      </c>
      <c r="W13" s="8" t="s">
        <v>249</v>
      </c>
      <c r="X13" s="8"/>
      <c r="Y13" s="8"/>
      <c r="Z13" s="7" t="s">
        <v>37</v>
      </c>
      <c r="AA13" s="8" t="s">
        <v>38</v>
      </c>
      <c r="AB13" s="9" t="n">
        <v>18</v>
      </c>
      <c r="AC13" s="8" t="s">
        <v>217</v>
      </c>
    </row>
    <row r="14" customFormat="false" ht="24.75" hidden="false" customHeight="true" outlineLevel="0" collapsed="false">
      <c r="A14" s="12" t="s">
        <v>250</v>
      </c>
      <c r="B14" s="8" t="s">
        <v>188</v>
      </c>
      <c r="C14" s="8" t="s">
        <v>189</v>
      </c>
      <c r="D14" s="8" t="s">
        <v>218</v>
      </c>
      <c r="E14" s="8" t="s">
        <v>251</v>
      </c>
      <c r="F14" s="8" t="s">
        <v>252</v>
      </c>
      <c r="G14" s="8" t="s">
        <v>193</v>
      </c>
      <c r="H14" s="8" t="str">
        <f aca="false">IF(COUNTIF(M14:R14,"M")&gt;0,"Must Have",IF(COUNTIF(M14:R14,"S")&gt;0,"Should Have",IF(COUNTIF(M14:R14,"C")&gt;0,"Could Have",IF(COUNTA(M14:R14)&gt;0,"Stated – no priority","Aurigo-only (no RFP source)"))))</f>
        <v>Aurigo-only (no RFP source)</v>
      </c>
      <c r="I14" s="12" t="n">
        <f aca="false">COUNTA(M14:R14)</f>
        <v>0</v>
      </c>
      <c r="J14" s="12" t="n">
        <f aca="false">COUNTIF(M14:R14,"M")</f>
        <v>0</v>
      </c>
      <c r="K14" s="8" t="str">
        <f aca="false">IF(I14=0,"Aurigo-only",IF(I14=1,"Single source",IF(I14=2,"Two sources",IF(I14&lt;=4,"Common (3-4)","Broad (5+)"))))</f>
        <v>Aurigo-only</v>
      </c>
      <c r="L14" s="8" t="str">
        <f aca="false">IF(J14&gt;=3,"Tier 1: Must in 3+ sources",IF(J14=2,"Tier 2: Must in 2 sources",IF(J14=1,"Tier 3: Must in 1 source",IF(COUNTIF(M14:R14,"S")&gt;0,"Tier 4: Should only",IF(COUNTIF(M14:R14,"C")&gt;0,"Tier 5: Could only",IF(I14&gt;0,"Tier 6: stated, no priority","Aurigo-only"))))))</f>
        <v>Aurigo-only</v>
      </c>
      <c r="M14" s="12"/>
      <c r="N14" s="12"/>
      <c r="O14" s="12"/>
      <c r="P14" s="12"/>
      <c r="Q14" s="12"/>
      <c r="R14" s="12"/>
      <c r="S14" s="8"/>
      <c r="T14" s="8"/>
      <c r="U14" s="8"/>
      <c r="V14" s="8" t="s">
        <v>197</v>
      </c>
      <c r="W14" s="8" t="s">
        <v>253</v>
      </c>
      <c r="X14" s="8" t="s">
        <v>254</v>
      </c>
      <c r="Y14" s="8"/>
      <c r="Z14" s="7" t="s">
        <v>37</v>
      </c>
      <c r="AA14" s="8" t="s">
        <v>38</v>
      </c>
      <c r="AB14" s="9" t="n">
        <v>19</v>
      </c>
      <c r="AC14" s="8" t="s">
        <v>217</v>
      </c>
    </row>
    <row r="15" customFormat="false" ht="49.5" hidden="false" customHeight="true" outlineLevel="0" collapsed="false">
      <c r="A15" s="12" t="s">
        <v>255</v>
      </c>
      <c r="B15" s="8" t="s">
        <v>188</v>
      </c>
      <c r="C15" s="8" t="s">
        <v>189</v>
      </c>
      <c r="D15" s="8" t="s">
        <v>256</v>
      </c>
      <c r="E15" s="8" t="s">
        <v>257</v>
      </c>
      <c r="F15" s="8" t="s">
        <v>258</v>
      </c>
      <c r="G15" s="8" t="s">
        <v>193</v>
      </c>
      <c r="H15" s="8" t="str">
        <f aca="false">IF(COUNTIF(M15:R15,"M")&gt;0,"Must Have",IF(COUNTIF(M15:R15,"S")&gt;0,"Should Have",IF(COUNTIF(M15:R15,"C")&gt;0,"Could Have",IF(COUNTA(M15:R15)&gt;0,"Stated – no priority","Aurigo-only (no RFP source)"))))</f>
        <v>Must Have</v>
      </c>
      <c r="I15" s="12" t="n">
        <f aca="false">COUNTA(M15:R15)</f>
        <v>2</v>
      </c>
      <c r="J15" s="12" t="n">
        <f aca="false">COUNTIF(M15:R15,"M")</f>
        <v>2</v>
      </c>
      <c r="K15" s="8" t="str">
        <f aca="false">IF(I15=0,"Aurigo-only",IF(I15=1,"Single source",IF(I15=2,"Two sources",IF(I15&lt;=4,"Common (3-4)","Broad (5+)"))))</f>
        <v>Two sources</v>
      </c>
      <c r="L15" s="8" t="str">
        <f aca="false">IF(J15&gt;=3,"Tier 1: Must in 3+ sources",IF(J15=2,"Tier 2: Must in 2 sources",IF(J15=1,"Tier 3: Must in 1 source",IF(COUNTIF(M15:R15,"S")&gt;0,"Tier 4: Should only",IF(COUNTIF(M15:R15,"C")&gt;0,"Tier 5: Could only",IF(I15&gt;0,"Tier 6: stated, no priority","Aurigo-only"))))))</f>
        <v>Tier 2: Must in 2 sources</v>
      </c>
      <c r="M15" s="12"/>
      <c r="N15" s="12" t="s">
        <v>194</v>
      </c>
      <c r="O15" s="12"/>
      <c r="P15" s="12"/>
      <c r="Q15" s="12" t="s">
        <v>194</v>
      </c>
      <c r="R15" s="12"/>
      <c r="S15" s="8" t="s">
        <v>259</v>
      </c>
      <c r="T15" s="8"/>
      <c r="U15" s="8"/>
      <c r="V15" s="8" t="s">
        <v>227</v>
      </c>
      <c r="W15" s="8" t="s">
        <v>260</v>
      </c>
      <c r="X15" s="8"/>
      <c r="Y15" s="8"/>
      <c r="Z15" s="7" t="s">
        <v>43</v>
      </c>
      <c r="AA15" s="8" t="s">
        <v>44</v>
      </c>
      <c r="AB15" s="9" t="n">
        <v>35</v>
      </c>
      <c r="AC15" s="8" t="s">
        <v>211</v>
      </c>
    </row>
    <row r="16" customFormat="false" ht="24.75" hidden="false" customHeight="true" outlineLevel="0" collapsed="false">
      <c r="A16" s="12" t="s">
        <v>261</v>
      </c>
      <c r="B16" s="8" t="s">
        <v>188</v>
      </c>
      <c r="C16" s="8" t="s">
        <v>189</v>
      </c>
      <c r="D16" s="8" t="s">
        <v>256</v>
      </c>
      <c r="E16" s="8" t="s">
        <v>262</v>
      </c>
      <c r="F16" s="8" t="s">
        <v>263</v>
      </c>
      <c r="G16" s="8" t="s">
        <v>193</v>
      </c>
      <c r="H16" s="8" t="str">
        <f aca="false">IF(COUNTIF(M16:R16,"M")&gt;0,"Must Have",IF(COUNTIF(M16:R16,"S")&gt;0,"Should Have",IF(COUNTIF(M16:R16,"C")&gt;0,"Could Have",IF(COUNTA(M16:R16)&gt;0,"Stated – no priority","Aurigo-only (no RFP source)"))))</f>
        <v>Must Have</v>
      </c>
      <c r="I16" s="12" t="n">
        <f aca="false">COUNTA(M16:R16)</f>
        <v>1</v>
      </c>
      <c r="J16" s="12" t="n">
        <f aca="false">COUNTIF(M16:R16,"M")</f>
        <v>1</v>
      </c>
      <c r="K16" s="8" t="str">
        <f aca="false">IF(I16=0,"Aurigo-only",IF(I16=1,"Single source",IF(I16=2,"Two sources",IF(I16&lt;=4,"Common (3-4)","Broad (5+)"))))</f>
        <v>Single source</v>
      </c>
      <c r="L16" s="8" t="str">
        <f aca="false">IF(J16&gt;=3,"Tier 1: Must in 3+ sources",IF(J16=2,"Tier 2: Must in 2 sources",IF(J16=1,"Tier 3: Must in 1 source",IF(COUNTIF(M16:R16,"S")&gt;0,"Tier 4: Should only",IF(COUNTIF(M16:R16,"C")&gt;0,"Tier 5: Could only",IF(I16&gt;0,"Tier 6: stated, no priority","Aurigo-only"))))))</f>
        <v>Tier 3: Must in 1 source</v>
      </c>
      <c r="M16" s="12"/>
      <c r="N16" s="12"/>
      <c r="O16" s="12" t="s">
        <v>194</v>
      </c>
      <c r="P16" s="12"/>
      <c r="Q16" s="12"/>
      <c r="R16" s="12"/>
      <c r="S16" s="8" t="s">
        <v>264</v>
      </c>
      <c r="T16" s="8"/>
      <c r="U16" s="8"/>
      <c r="V16" s="8" t="s">
        <v>204</v>
      </c>
      <c r="W16" s="8" t="s">
        <v>205</v>
      </c>
      <c r="X16" s="8" t="s">
        <v>265</v>
      </c>
      <c r="Y16" s="8"/>
      <c r="Z16" s="7" t="s">
        <v>43</v>
      </c>
      <c r="AA16" s="8" t="s">
        <v>44</v>
      </c>
      <c r="AB16" s="9" t="n">
        <v>36</v>
      </c>
      <c r="AC16" s="8" t="s">
        <v>211</v>
      </c>
    </row>
    <row r="17" customFormat="false" ht="87" hidden="false" customHeight="true" outlineLevel="0" collapsed="false">
      <c r="A17" s="12" t="s">
        <v>266</v>
      </c>
      <c r="B17" s="8" t="s">
        <v>188</v>
      </c>
      <c r="C17" s="8" t="s">
        <v>267</v>
      </c>
      <c r="D17" s="8" t="s">
        <v>268</v>
      </c>
      <c r="E17" s="8" t="s">
        <v>269</v>
      </c>
      <c r="F17" s="8" t="s">
        <v>270</v>
      </c>
      <c r="G17" s="8" t="s">
        <v>193</v>
      </c>
      <c r="H17" s="8" t="str">
        <f aca="false">IF(COUNTIF(M17:R17,"M")&gt;0,"Must Have",IF(COUNTIF(M17:R17,"S")&gt;0,"Should Have",IF(COUNTIF(M17:R17,"C")&gt;0,"Could Have",IF(COUNTA(M17:R17)&gt;0,"Stated – no priority","Aurigo-only (no RFP source)"))))</f>
        <v>Must Have</v>
      </c>
      <c r="I17" s="12" t="n">
        <f aca="false">COUNTA(M17:R17)</f>
        <v>4</v>
      </c>
      <c r="J17" s="12" t="n">
        <f aca="false">COUNTIF(M17:R17,"M")</f>
        <v>3</v>
      </c>
      <c r="K17" s="8" t="str">
        <f aca="false">IF(I17=0,"Aurigo-only",IF(I17=1,"Single source",IF(I17=2,"Two sources",IF(I17&lt;=4,"Common (3-4)","Broad (5+)"))))</f>
        <v>Common (3-4)</v>
      </c>
      <c r="L17" s="8" t="str">
        <f aca="false">IF(J17&gt;=3,"Tier 1: Must in 3+ sources",IF(J17=2,"Tier 2: Must in 2 sources",IF(J17=1,"Tier 3: Must in 1 source",IF(COUNTIF(M17:R17,"S")&gt;0,"Tier 4: Should only",IF(COUNTIF(M17:R17,"C")&gt;0,"Tier 5: Could only",IF(I17&gt;0,"Tier 6: stated, no priority","Aurigo-only"))))))</f>
        <v>Tier 1: Must in 3+ sources</v>
      </c>
      <c r="M17" s="12" t="s">
        <v>194</v>
      </c>
      <c r="N17" s="12" t="s">
        <v>194</v>
      </c>
      <c r="O17" s="12"/>
      <c r="P17" s="12" t="s">
        <v>195</v>
      </c>
      <c r="Q17" s="12" t="s">
        <v>194</v>
      </c>
      <c r="R17" s="12"/>
      <c r="S17" s="8" t="s">
        <v>271</v>
      </c>
      <c r="T17" s="8"/>
      <c r="U17" s="8"/>
      <c r="V17" s="8" t="s">
        <v>197</v>
      </c>
      <c r="W17" s="8" t="s">
        <v>272</v>
      </c>
      <c r="X17" s="8"/>
      <c r="Y17" s="8"/>
      <c r="Z17" s="7" t="s">
        <v>40</v>
      </c>
      <c r="AA17" s="8" t="s">
        <v>41</v>
      </c>
      <c r="AB17" s="9" t="n">
        <v>25</v>
      </c>
      <c r="AC17" s="8" t="s">
        <v>217</v>
      </c>
    </row>
    <row r="18" customFormat="false" ht="24.75" hidden="false" customHeight="true" outlineLevel="0" collapsed="false">
      <c r="A18" s="12" t="s">
        <v>273</v>
      </c>
      <c r="B18" s="8" t="s">
        <v>188</v>
      </c>
      <c r="C18" s="8" t="s">
        <v>267</v>
      </c>
      <c r="D18" s="8" t="s">
        <v>268</v>
      </c>
      <c r="E18" s="8" t="s">
        <v>274</v>
      </c>
      <c r="F18" s="8" t="s">
        <v>275</v>
      </c>
      <c r="G18" s="8" t="s">
        <v>193</v>
      </c>
      <c r="H18" s="8" t="str">
        <f aca="false">IF(COUNTIF(M18:R18,"M")&gt;0,"Must Have",IF(COUNTIF(M18:R18,"S")&gt;0,"Should Have",IF(COUNTIF(M18:R18,"C")&gt;0,"Could Have",IF(COUNTA(M18:R18)&gt;0,"Stated – no priority","Aurigo-only (no RFP source)"))))</f>
        <v>Must Have</v>
      </c>
      <c r="I18" s="12" t="n">
        <f aca="false">COUNTA(M18:R18)</f>
        <v>1</v>
      </c>
      <c r="J18" s="12" t="n">
        <f aca="false">COUNTIF(M18:R18,"M")</f>
        <v>1</v>
      </c>
      <c r="K18" s="8" t="str">
        <f aca="false">IF(I18=0,"Aurigo-only",IF(I18=1,"Single source",IF(I18=2,"Two sources",IF(I18&lt;=4,"Common (3-4)","Broad (5+)"))))</f>
        <v>Single source</v>
      </c>
      <c r="L18" s="8" t="str">
        <f aca="false">IF(J18&gt;=3,"Tier 1: Must in 3+ sources",IF(J18=2,"Tier 2: Must in 2 sources",IF(J18=1,"Tier 3: Must in 1 source",IF(COUNTIF(M18:R18,"S")&gt;0,"Tier 4: Should only",IF(COUNTIF(M18:R18,"C")&gt;0,"Tier 5: Could only",IF(I18&gt;0,"Tier 6: stated, no priority","Aurigo-only"))))))</f>
        <v>Tier 3: Must in 1 source</v>
      </c>
      <c r="M18" s="12" t="s">
        <v>194</v>
      </c>
      <c r="N18" s="12"/>
      <c r="O18" s="12"/>
      <c r="P18" s="12"/>
      <c r="Q18" s="12"/>
      <c r="R18" s="12"/>
      <c r="S18" s="8" t="s">
        <v>276</v>
      </c>
      <c r="T18" s="8"/>
      <c r="U18" s="8"/>
      <c r="V18" s="8" t="s">
        <v>197</v>
      </c>
      <c r="W18" s="8" t="s">
        <v>277</v>
      </c>
      <c r="X18" s="8"/>
      <c r="Y18" s="8"/>
      <c r="Z18" s="7" t="s">
        <v>40</v>
      </c>
      <c r="AA18" s="8" t="s">
        <v>41</v>
      </c>
      <c r="AB18" s="9" t="n">
        <v>27</v>
      </c>
      <c r="AC18" s="8" t="s">
        <v>266</v>
      </c>
    </row>
    <row r="19" customFormat="false" ht="49.5" hidden="false" customHeight="true" outlineLevel="0" collapsed="false">
      <c r="A19" s="12" t="s">
        <v>278</v>
      </c>
      <c r="B19" s="8" t="s">
        <v>188</v>
      </c>
      <c r="C19" s="8" t="s">
        <v>267</v>
      </c>
      <c r="D19" s="8" t="s">
        <v>268</v>
      </c>
      <c r="E19" s="8" t="s">
        <v>279</v>
      </c>
      <c r="F19" s="8" t="s">
        <v>280</v>
      </c>
      <c r="G19" s="8" t="s">
        <v>193</v>
      </c>
      <c r="H19" s="8" t="str">
        <f aca="false">IF(COUNTIF(M19:R19,"M")&gt;0,"Must Have",IF(COUNTIF(M19:R19,"S")&gt;0,"Should Have",IF(COUNTIF(M19:R19,"C")&gt;0,"Could Have",IF(COUNTA(M19:R19)&gt;0,"Stated – no priority","Aurigo-only (no RFP source)"))))</f>
        <v>Must Have</v>
      </c>
      <c r="I19" s="12" t="n">
        <f aca="false">COUNTA(M19:R19)</f>
        <v>2</v>
      </c>
      <c r="J19" s="12" t="n">
        <f aca="false">COUNTIF(M19:R19,"M")</f>
        <v>2</v>
      </c>
      <c r="K19" s="8" t="str">
        <f aca="false">IF(I19=0,"Aurigo-only",IF(I19=1,"Single source",IF(I19=2,"Two sources",IF(I19&lt;=4,"Common (3-4)","Broad (5+)"))))</f>
        <v>Two sources</v>
      </c>
      <c r="L19" s="8" t="str">
        <f aca="false">IF(J19&gt;=3,"Tier 1: Must in 3+ sources",IF(J19=2,"Tier 2: Must in 2 sources",IF(J19=1,"Tier 3: Must in 1 source",IF(COUNTIF(M19:R19,"S")&gt;0,"Tier 4: Should only",IF(COUNTIF(M19:R19,"C")&gt;0,"Tier 5: Could only",IF(I19&gt;0,"Tier 6: stated, no priority","Aurigo-only"))))))</f>
        <v>Tier 2: Must in 2 sources</v>
      </c>
      <c r="M19" s="12"/>
      <c r="N19" s="12" t="s">
        <v>194</v>
      </c>
      <c r="O19" s="12"/>
      <c r="P19" s="12"/>
      <c r="Q19" s="12" t="s">
        <v>194</v>
      </c>
      <c r="R19" s="12"/>
      <c r="S19" s="8" t="s">
        <v>281</v>
      </c>
      <c r="T19" s="8"/>
      <c r="U19" s="8"/>
      <c r="V19" s="8" t="s">
        <v>227</v>
      </c>
      <c r="W19" s="8" t="s">
        <v>282</v>
      </c>
      <c r="X19" s="8"/>
      <c r="Y19" s="8"/>
      <c r="Z19" s="7" t="s">
        <v>40</v>
      </c>
      <c r="AA19" s="8" t="s">
        <v>41</v>
      </c>
      <c r="AB19" s="9" t="n">
        <v>26</v>
      </c>
      <c r="AC19" s="8" t="s">
        <v>266</v>
      </c>
    </row>
    <row r="20" customFormat="false" ht="24.75" hidden="false" customHeight="true" outlineLevel="0" collapsed="false">
      <c r="A20" s="12" t="s">
        <v>283</v>
      </c>
      <c r="B20" s="8" t="s">
        <v>188</v>
      </c>
      <c r="C20" s="8" t="s">
        <v>267</v>
      </c>
      <c r="D20" s="8" t="s">
        <v>268</v>
      </c>
      <c r="E20" s="8" t="s">
        <v>284</v>
      </c>
      <c r="F20" s="8" t="s">
        <v>285</v>
      </c>
      <c r="G20" s="8" t="s">
        <v>193</v>
      </c>
      <c r="H20" s="8" t="str">
        <f aca="false">IF(COUNTIF(M20:R20,"M")&gt;0,"Must Have",IF(COUNTIF(M20:R20,"S")&gt;0,"Should Have",IF(COUNTIF(M20:R20,"C")&gt;0,"Could Have",IF(COUNTA(M20:R20)&gt;0,"Stated – no priority","Aurigo-only (no RFP source)"))))</f>
        <v>Must Have</v>
      </c>
      <c r="I20" s="12" t="n">
        <f aca="false">COUNTA(M20:R20)</f>
        <v>1</v>
      </c>
      <c r="J20" s="12" t="n">
        <f aca="false">COUNTIF(M20:R20,"M")</f>
        <v>1</v>
      </c>
      <c r="K20" s="8" t="str">
        <f aca="false">IF(I20=0,"Aurigo-only",IF(I20=1,"Single source",IF(I20=2,"Two sources",IF(I20&lt;=4,"Common (3-4)","Broad (5+)"))))</f>
        <v>Single source</v>
      </c>
      <c r="L20" s="8" t="str">
        <f aca="false">IF(J20&gt;=3,"Tier 1: Must in 3+ sources",IF(J20=2,"Tier 2: Must in 2 sources",IF(J20=1,"Tier 3: Must in 1 source",IF(COUNTIF(M20:R20,"S")&gt;0,"Tier 4: Should only",IF(COUNTIF(M20:R20,"C")&gt;0,"Tier 5: Could only",IF(I20&gt;0,"Tier 6: stated, no priority","Aurigo-only"))))))</f>
        <v>Tier 3: Must in 1 source</v>
      </c>
      <c r="M20" s="12" t="s">
        <v>194</v>
      </c>
      <c r="N20" s="12"/>
      <c r="O20" s="12"/>
      <c r="P20" s="12"/>
      <c r="Q20" s="12"/>
      <c r="R20" s="12"/>
      <c r="S20" s="8" t="s">
        <v>286</v>
      </c>
      <c r="T20" s="8"/>
      <c r="U20" s="8"/>
      <c r="V20" s="8" t="s">
        <v>204</v>
      </c>
      <c r="W20" s="8" t="s">
        <v>205</v>
      </c>
      <c r="X20" s="8"/>
      <c r="Y20" s="8"/>
      <c r="Z20" s="7" t="s">
        <v>40</v>
      </c>
      <c r="AA20" s="8" t="s">
        <v>41</v>
      </c>
      <c r="AB20" s="9" t="n">
        <v>28</v>
      </c>
      <c r="AC20" s="8" t="s">
        <v>266</v>
      </c>
    </row>
    <row r="21" customFormat="false" ht="24.75" hidden="false" customHeight="true" outlineLevel="0" collapsed="false">
      <c r="A21" s="12" t="s">
        <v>287</v>
      </c>
      <c r="B21" s="8" t="s">
        <v>188</v>
      </c>
      <c r="C21" s="8" t="s">
        <v>267</v>
      </c>
      <c r="D21" s="8" t="s">
        <v>268</v>
      </c>
      <c r="E21" s="8" t="s">
        <v>288</v>
      </c>
      <c r="F21" s="8" t="s">
        <v>289</v>
      </c>
      <c r="G21" s="8" t="s">
        <v>193</v>
      </c>
      <c r="H21" s="8" t="str">
        <f aca="false">IF(COUNTIF(M21:R21,"M")&gt;0,"Must Have",IF(COUNTIF(M21:R21,"S")&gt;0,"Should Have",IF(COUNTIF(M21:R21,"C")&gt;0,"Could Have",IF(COUNTA(M21:R21)&gt;0,"Stated – no priority","Aurigo-only (no RFP source)"))))</f>
        <v>Must Have</v>
      </c>
      <c r="I21" s="12" t="n">
        <f aca="false">COUNTA(M21:R21)</f>
        <v>1</v>
      </c>
      <c r="J21" s="12" t="n">
        <f aca="false">COUNTIF(M21:R21,"M")</f>
        <v>1</v>
      </c>
      <c r="K21" s="8" t="str">
        <f aca="false">IF(I21=0,"Aurigo-only",IF(I21=1,"Single source",IF(I21=2,"Two sources",IF(I21&lt;=4,"Common (3-4)","Broad (5+)"))))</f>
        <v>Single source</v>
      </c>
      <c r="L21" s="8" t="str">
        <f aca="false">IF(J21&gt;=3,"Tier 1: Must in 3+ sources",IF(J21=2,"Tier 2: Must in 2 sources",IF(J21=1,"Tier 3: Must in 1 source",IF(COUNTIF(M21:R21,"S")&gt;0,"Tier 4: Should only",IF(COUNTIF(M21:R21,"C")&gt;0,"Tier 5: Could only",IF(I21&gt;0,"Tier 6: stated, no priority","Aurigo-only"))))))</f>
        <v>Tier 3: Must in 1 source</v>
      </c>
      <c r="M21" s="12" t="s">
        <v>194</v>
      </c>
      <c r="N21" s="12"/>
      <c r="O21" s="12"/>
      <c r="P21" s="12"/>
      <c r="Q21" s="12"/>
      <c r="R21" s="12"/>
      <c r="S21" s="8" t="s">
        <v>290</v>
      </c>
      <c r="T21" s="8" t="s">
        <v>291</v>
      </c>
      <c r="U21" s="8"/>
      <c r="V21" s="8" t="s">
        <v>197</v>
      </c>
      <c r="W21" s="8" t="s">
        <v>292</v>
      </c>
      <c r="X21" s="8"/>
      <c r="Y21" s="8"/>
      <c r="Z21" s="7" t="s">
        <v>40</v>
      </c>
      <c r="AA21" s="8" t="s">
        <v>41</v>
      </c>
      <c r="AB21" s="9" t="n">
        <v>29</v>
      </c>
      <c r="AC21" s="8" t="s">
        <v>266</v>
      </c>
    </row>
    <row r="22" customFormat="false" ht="37.5" hidden="false" customHeight="true" outlineLevel="0" collapsed="false">
      <c r="A22" s="12" t="s">
        <v>293</v>
      </c>
      <c r="B22" s="8" t="s">
        <v>188</v>
      </c>
      <c r="C22" s="8" t="s">
        <v>267</v>
      </c>
      <c r="D22" s="8" t="s">
        <v>294</v>
      </c>
      <c r="E22" s="8" t="s">
        <v>295</v>
      </c>
      <c r="F22" s="8" t="s">
        <v>296</v>
      </c>
      <c r="G22" s="8" t="s">
        <v>193</v>
      </c>
      <c r="H22" s="8" t="str">
        <f aca="false">IF(COUNTIF(M22:R22,"M")&gt;0,"Must Have",IF(COUNTIF(M22:R22,"S")&gt;0,"Should Have",IF(COUNTIF(M22:R22,"C")&gt;0,"Could Have",IF(COUNTA(M22:R22)&gt;0,"Stated – no priority","Aurigo-only (no RFP source)"))))</f>
        <v>Must Have</v>
      </c>
      <c r="I22" s="12" t="n">
        <f aca="false">COUNTA(M22:R22)</f>
        <v>2</v>
      </c>
      <c r="J22" s="12" t="n">
        <f aca="false">COUNTIF(M22:R22,"M")</f>
        <v>2</v>
      </c>
      <c r="K22" s="8" t="str">
        <f aca="false">IF(I22=0,"Aurigo-only",IF(I22=1,"Single source",IF(I22=2,"Two sources",IF(I22&lt;=4,"Common (3-4)","Broad (5+)"))))</f>
        <v>Two sources</v>
      </c>
      <c r="L22" s="8" t="str">
        <f aca="false">IF(J22&gt;=3,"Tier 1: Must in 3+ sources",IF(J22=2,"Tier 2: Must in 2 sources",IF(J22=1,"Tier 3: Must in 1 source",IF(COUNTIF(M22:R22,"S")&gt;0,"Tier 4: Should only",IF(COUNTIF(M22:R22,"C")&gt;0,"Tier 5: Could only",IF(I22&gt;0,"Tier 6: stated, no priority","Aurigo-only"))))))</f>
        <v>Tier 2: Must in 2 sources</v>
      </c>
      <c r="M22" s="12" t="s">
        <v>194</v>
      </c>
      <c r="N22" s="12" t="s">
        <v>194</v>
      </c>
      <c r="O22" s="12"/>
      <c r="P22" s="12"/>
      <c r="Q22" s="12"/>
      <c r="R22" s="12"/>
      <c r="S22" s="8" t="s">
        <v>297</v>
      </c>
      <c r="T22" s="8"/>
      <c r="U22" s="8"/>
      <c r="V22" s="8" t="s">
        <v>197</v>
      </c>
      <c r="W22" s="8" t="s">
        <v>298</v>
      </c>
      <c r="X22" s="8"/>
      <c r="Y22" s="8"/>
      <c r="Z22" s="7" t="s">
        <v>40</v>
      </c>
      <c r="AA22" s="8" t="s">
        <v>41</v>
      </c>
      <c r="AB22" s="9" t="n">
        <v>31</v>
      </c>
      <c r="AC22" s="8" t="s">
        <v>299</v>
      </c>
    </row>
    <row r="23" customFormat="false" ht="99.75" hidden="false" customHeight="true" outlineLevel="0" collapsed="false">
      <c r="A23" s="12" t="s">
        <v>300</v>
      </c>
      <c r="B23" s="8" t="s">
        <v>188</v>
      </c>
      <c r="C23" s="8" t="s">
        <v>267</v>
      </c>
      <c r="D23" s="8" t="s">
        <v>301</v>
      </c>
      <c r="E23" s="8" t="s">
        <v>302</v>
      </c>
      <c r="F23" s="8" t="s">
        <v>303</v>
      </c>
      <c r="G23" s="8" t="s">
        <v>193</v>
      </c>
      <c r="H23" s="8" t="str">
        <f aca="false">IF(COUNTIF(M23:R23,"M")&gt;0,"Must Have",IF(COUNTIF(M23:R23,"S")&gt;0,"Should Have",IF(COUNTIF(M23:R23,"C")&gt;0,"Could Have",IF(COUNTA(M23:R23)&gt;0,"Stated – no priority","Aurigo-only (no RFP source)"))))</f>
        <v>Must Have</v>
      </c>
      <c r="I23" s="12" t="n">
        <f aca="false">COUNTA(M23:R23)</f>
        <v>4</v>
      </c>
      <c r="J23" s="12" t="n">
        <f aca="false">COUNTIF(M23:R23,"M")</f>
        <v>4</v>
      </c>
      <c r="K23" s="8" t="str">
        <f aca="false">IF(I23=0,"Aurigo-only",IF(I23=1,"Single source",IF(I23=2,"Two sources",IF(I23&lt;=4,"Common (3-4)","Broad (5+)"))))</f>
        <v>Common (3-4)</v>
      </c>
      <c r="L23" s="8" t="str">
        <f aca="false">IF(J23&gt;=3,"Tier 1: Must in 3+ sources",IF(J23=2,"Tier 2: Must in 2 sources",IF(J23=1,"Tier 3: Must in 1 source",IF(COUNTIF(M23:R23,"S")&gt;0,"Tier 4: Should only",IF(COUNTIF(M23:R23,"C")&gt;0,"Tier 5: Could only",IF(I23&gt;0,"Tier 6: stated, no priority","Aurigo-only"))))))</f>
        <v>Tier 1: Must in 3+ sources</v>
      </c>
      <c r="M23" s="12" t="s">
        <v>194</v>
      </c>
      <c r="N23" s="12" t="s">
        <v>194</v>
      </c>
      <c r="O23" s="12" t="s">
        <v>194</v>
      </c>
      <c r="P23" s="12"/>
      <c r="Q23" s="12" t="s">
        <v>194</v>
      </c>
      <c r="R23" s="12"/>
      <c r="S23" s="8" t="s">
        <v>304</v>
      </c>
      <c r="T23" s="8"/>
      <c r="U23" s="8"/>
      <c r="V23" s="8" t="s">
        <v>197</v>
      </c>
      <c r="W23" s="8" t="s">
        <v>305</v>
      </c>
      <c r="X23" s="8" t="s">
        <v>306</v>
      </c>
      <c r="Y23" s="8"/>
      <c r="Z23" s="7" t="s">
        <v>40</v>
      </c>
      <c r="AA23" s="8" t="s">
        <v>41</v>
      </c>
      <c r="AB23" s="9" t="n">
        <v>32</v>
      </c>
      <c r="AC23" s="8" t="s">
        <v>266</v>
      </c>
    </row>
    <row r="24" customFormat="false" ht="24.75" hidden="false" customHeight="true" outlineLevel="0" collapsed="false">
      <c r="A24" s="12" t="s">
        <v>307</v>
      </c>
      <c r="B24" s="8" t="s">
        <v>188</v>
      </c>
      <c r="C24" s="8" t="s">
        <v>267</v>
      </c>
      <c r="D24" s="8" t="s">
        <v>301</v>
      </c>
      <c r="E24" s="8" t="s">
        <v>308</v>
      </c>
      <c r="F24" s="8" t="s">
        <v>309</v>
      </c>
      <c r="G24" s="8" t="s">
        <v>193</v>
      </c>
      <c r="H24" s="8" t="str">
        <f aca="false">IF(COUNTIF(M24:R24,"M")&gt;0,"Must Have",IF(COUNTIF(M24:R24,"S")&gt;0,"Should Have",IF(COUNTIF(M24:R24,"C")&gt;0,"Could Have",IF(COUNTA(M24:R24)&gt;0,"Stated – no priority","Aurigo-only (no RFP source)"))))</f>
        <v>Must Have</v>
      </c>
      <c r="I24" s="12" t="n">
        <f aca="false">COUNTA(M24:R24)</f>
        <v>1</v>
      </c>
      <c r="J24" s="12" t="n">
        <f aca="false">COUNTIF(M24:R24,"M")</f>
        <v>1</v>
      </c>
      <c r="K24" s="8" t="str">
        <f aca="false">IF(I24=0,"Aurigo-only",IF(I24=1,"Single source",IF(I24=2,"Two sources",IF(I24&lt;=4,"Common (3-4)","Broad (5+)"))))</f>
        <v>Single source</v>
      </c>
      <c r="L24" s="8" t="str">
        <f aca="false">IF(J24&gt;=3,"Tier 1: Must in 3+ sources",IF(J24=2,"Tier 2: Must in 2 sources",IF(J24=1,"Tier 3: Must in 1 source",IF(COUNTIF(M24:R24,"S")&gt;0,"Tier 4: Should only",IF(COUNTIF(M24:R24,"C")&gt;0,"Tier 5: Could only",IF(I24&gt;0,"Tier 6: stated, no priority","Aurigo-only"))))))</f>
        <v>Tier 3: Must in 1 source</v>
      </c>
      <c r="M24" s="12" t="s">
        <v>194</v>
      </c>
      <c r="N24" s="12"/>
      <c r="O24" s="12"/>
      <c r="P24" s="12"/>
      <c r="Q24" s="12"/>
      <c r="R24" s="12"/>
      <c r="S24" s="8" t="s">
        <v>310</v>
      </c>
      <c r="T24" s="8"/>
      <c r="U24" s="8"/>
      <c r="V24" s="8" t="s">
        <v>197</v>
      </c>
      <c r="W24" s="8" t="s">
        <v>311</v>
      </c>
      <c r="X24" s="8"/>
      <c r="Y24" s="8"/>
      <c r="Z24" s="7" t="s">
        <v>40</v>
      </c>
      <c r="AA24" s="8" t="s">
        <v>41</v>
      </c>
      <c r="AB24" s="9" t="n">
        <v>33</v>
      </c>
      <c r="AC24" s="8" t="s">
        <v>312</v>
      </c>
    </row>
    <row r="25" customFormat="false" ht="24.75" hidden="false" customHeight="true" outlineLevel="0" collapsed="false">
      <c r="A25" s="12" t="s">
        <v>313</v>
      </c>
      <c r="B25" s="8" t="s">
        <v>188</v>
      </c>
      <c r="C25" s="8" t="s">
        <v>267</v>
      </c>
      <c r="D25" s="8" t="s">
        <v>314</v>
      </c>
      <c r="E25" s="8" t="s">
        <v>315</v>
      </c>
      <c r="F25" s="8" t="s">
        <v>316</v>
      </c>
      <c r="G25" s="8" t="s">
        <v>193</v>
      </c>
      <c r="H25" s="8" t="str">
        <f aca="false">IF(COUNTIF(M25:R25,"M")&gt;0,"Must Have",IF(COUNTIF(M25:R25,"S")&gt;0,"Should Have",IF(COUNTIF(M25:R25,"C")&gt;0,"Could Have",IF(COUNTA(M25:R25)&gt;0,"Stated – no priority","Aurigo-only (no RFP source)"))))</f>
        <v>Must Have</v>
      </c>
      <c r="I25" s="12" t="n">
        <f aca="false">COUNTA(M25:R25)</f>
        <v>1</v>
      </c>
      <c r="J25" s="12" t="n">
        <f aca="false">COUNTIF(M25:R25,"M")</f>
        <v>1</v>
      </c>
      <c r="K25" s="8" t="str">
        <f aca="false">IF(I25=0,"Aurigo-only",IF(I25=1,"Single source",IF(I25=2,"Two sources",IF(I25&lt;=4,"Common (3-4)","Broad (5+)"))))</f>
        <v>Single source</v>
      </c>
      <c r="L25" s="8" t="str">
        <f aca="false">IF(J25&gt;=3,"Tier 1: Must in 3+ sources",IF(J25=2,"Tier 2: Must in 2 sources",IF(J25=1,"Tier 3: Must in 1 source",IF(COUNTIF(M25:R25,"S")&gt;0,"Tier 4: Should only",IF(COUNTIF(M25:R25,"C")&gt;0,"Tier 5: Could only",IF(I25&gt;0,"Tier 6: stated, no priority","Aurigo-only"))))))</f>
        <v>Tier 3: Must in 1 source</v>
      </c>
      <c r="M25" s="12"/>
      <c r="N25" s="12" t="s">
        <v>194</v>
      </c>
      <c r="O25" s="12"/>
      <c r="P25" s="12"/>
      <c r="Q25" s="12"/>
      <c r="R25" s="12"/>
      <c r="S25" s="8" t="s">
        <v>317</v>
      </c>
      <c r="T25" s="8" t="s">
        <v>318</v>
      </c>
      <c r="U25" s="8"/>
      <c r="V25" s="8" t="s">
        <v>204</v>
      </c>
      <c r="W25" s="8" t="s">
        <v>205</v>
      </c>
      <c r="X25" s="8"/>
      <c r="Y25" s="8"/>
      <c r="Z25" s="7" t="s">
        <v>40</v>
      </c>
      <c r="AA25" s="8" t="s">
        <v>41</v>
      </c>
      <c r="AB25" s="9" t="n">
        <v>30</v>
      </c>
      <c r="AC25" s="8" t="s">
        <v>266</v>
      </c>
    </row>
    <row r="26" customFormat="false" ht="75" hidden="false" customHeight="true" outlineLevel="0" collapsed="false">
      <c r="A26" s="12" t="s">
        <v>319</v>
      </c>
      <c r="B26" s="8" t="s">
        <v>188</v>
      </c>
      <c r="C26" s="8" t="s">
        <v>320</v>
      </c>
      <c r="D26" s="8" t="s">
        <v>321</v>
      </c>
      <c r="E26" s="8" t="s">
        <v>322</v>
      </c>
      <c r="F26" s="8" t="s">
        <v>323</v>
      </c>
      <c r="G26" s="8" t="s">
        <v>193</v>
      </c>
      <c r="H26" s="8" t="str">
        <f aca="false">IF(COUNTIF(M26:R26,"M")&gt;0,"Must Have",IF(COUNTIF(M26:R26,"S")&gt;0,"Should Have",IF(COUNTIF(M26:R26,"C")&gt;0,"Could Have",IF(COUNTA(M26:R26)&gt;0,"Stated – no priority","Aurigo-only (no RFP source)"))))</f>
        <v>Must Have</v>
      </c>
      <c r="I26" s="12" t="n">
        <f aca="false">COUNTA(M26:R26)</f>
        <v>4</v>
      </c>
      <c r="J26" s="12" t="n">
        <f aca="false">COUNTIF(M26:R26,"M")</f>
        <v>3</v>
      </c>
      <c r="K26" s="8" t="str">
        <f aca="false">IF(I26=0,"Aurigo-only",IF(I26=1,"Single source",IF(I26=2,"Two sources",IF(I26&lt;=4,"Common (3-4)","Broad (5+)"))))</f>
        <v>Common (3-4)</v>
      </c>
      <c r="L26" s="8" t="str">
        <f aca="false">IF(J26&gt;=3,"Tier 1: Must in 3+ sources",IF(J26=2,"Tier 2: Must in 2 sources",IF(J26=1,"Tier 3: Must in 1 source",IF(COUNTIF(M26:R26,"S")&gt;0,"Tier 4: Should only",IF(COUNTIF(M26:R26,"C")&gt;0,"Tier 5: Could only",IF(I26&gt;0,"Tier 6: stated, no priority","Aurigo-only"))))))</f>
        <v>Tier 1: Must in 3+ sources</v>
      </c>
      <c r="M26" s="12" t="s">
        <v>194</v>
      </c>
      <c r="N26" s="12"/>
      <c r="O26" s="12" t="s">
        <v>194</v>
      </c>
      <c r="P26" s="12" t="s">
        <v>195</v>
      </c>
      <c r="Q26" s="12" t="s">
        <v>194</v>
      </c>
      <c r="R26" s="12"/>
      <c r="S26" s="8" t="s">
        <v>324</v>
      </c>
      <c r="T26" s="8"/>
      <c r="U26" s="8"/>
      <c r="V26" s="8" t="s">
        <v>197</v>
      </c>
      <c r="W26" s="8" t="s">
        <v>325</v>
      </c>
      <c r="X26" s="8"/>
      <c r="Y26" s="8"/>
      <c r="Z26" s="7" t="s">
        <v>52</v>
      </c>
      <c r="AA26" s="8" t="s">
        <v>53</v>
      </c>
      <c r="AB26" s="9" t="n">
        <v>70</v>
      </c>
      <c r="AC26" s="8" t="s">
        <v>326</v>
      </c>
    </row>
    <row r="27" customFormat="false" ht="24.75" hidden="false" customHeight="true" outlineLevel="0" collapsed="false">
      <c r="A27" s="12" t="s">
        <v>327</v>
      </c>
      <c r="B27" s="8" t="s">
        <v>188</v>
      </c>
      <c r="C27" s="8" t="s">
        <v>320</v>
      </c>
      <c r="D27" s="8" t="s">
        <v>321</v>
      </c>
      <c r="E27" s="8" t="s">
        <v>328</v>
      </c>
      <c r="F27" s="8" t="s">
        <v>329</v>
      </c>
      <c r="G27" s="8" t="s">
        <v>193</v>
      </c>
      <c r="H27" s="8" t="str">
        <f aca="false">IF(COUNTIF(M27:R27,"M")&gt;0,"Must Have",IF(COUNTIF(M27:R27,"S")&gt;0,"Should Have",IF(COUNTIF(M27:R27,"C")&gt;0,"Could Have",IF(COUNTA(M27:R27)&gt;0,"Stated – no priority","Aurigo-only (no RFP source)"))))</f>
        <v>Must Have</v>
      </c>
      <c r="I27" s="12" t="n">
        <f aca="false">COUNTA(M27:R27)</f>
        <v>1</v>
      </c>
      <c r="J27" s="12" t="n">
        <f aca="false">COUNTIF(M27:R27,"M")</f>
        <v>1</v>
      </c>
      <c r="K27" s="8" t="str">
        <f aca="false">IF(I27=0,"Aurigo-only",IF(I27=1,"Single source",IF(I27=2,"Two sources",IF(I27&lt;=4,"Common (3-4)","Broad (5+)"))))</f>
        <v>Single source</v>
      </c>
      <c r="L27" s="8" t="str">
        <f aca="false">IF(J27&gt;=3,"Tier 1: Must in 3+ sources",IF(J27=2,"Tier 2: Must in 2 sources",IF(J27=1,"Tier 3: Must in 1 source",IF(COUNTIF(M27:R27,"S")&gt;0,"Tier 4: Should only",IF(COUNTIF(M27:R27,"C")&gt;0,"Tier 5: Could only",IF(I27&gt;0,"Tier 6: stated, no priority","Aurigo-only"))))))</f>
        <v>Tier 3: Must in 1 source</v>
      </c>
      <c r="M27" s="12" t="s">
        <v>194</v>
      </c>
      <c r="N27" s="12"/>
      <c r="O27" s="12"/>
      <c r="P27" s="12"/>
      <c r="Q27" s="12"/>
      <c r="R27" s="12"/>
      <c r="S27" s="8" t="s">
        <v>330</v>
      </c>
      <c r="T27" s="8"/>
      <c r="U27" s="8"/>
      <c r="V27" s="8" t="s">
        <v>204</v>
      </c>
      <c r="W27" s="8" t="s">
        <v>205</v>
      </c>
      <c r="X27" s="8"/>
      <c r="Y27" s="8"/>
      <c r="Z27" s="7" t="s">
        <v>52</v>
      </c>
      <c r="AA27" s="8" t="s">
        <v>53</v>
      </c>
      <c r="AB27" s="9" t="n">
        <v>71</v>
      </c>
      <c r="AC27" s="8" t="s">
        <v>319</v>
      </c>
    </row>
    <row r="28" customFormat="false" ht="24.75" hidden="false" customHeight="true" outlineLevel="0" collapsed="false">
      <c r="A28" s="12" t="s">
        <v>331</v>
      </c>
      <c r="B28" s="8" t="s">
        <v>188</v>
      </c>
      <c r="C28" s="8" t="s">
        <v>320</v>
      </c>
      <c r="D28" s="8" t="s">
        <v>321</v>
      </c>
      <c r="E28" s="8" t="s">
        <v>332</v>
      </c>
      <c r="F28" s="8" t="s">
        <v>333</v>
      </c>
      <c r="G28" s="8" t="s">
        <v>193</v>
      </c>
      <c r="H28" s="8" t="str">
        <f aca="false">IF(COUNTIF(M28:R28,"M")&gt;0,"Must Have",IF(COUNTIF(M28:R28,"S")&gt;0,"Should Have",IF(COUNTIF(M28:R28,"C")&gt;0,"Could Have",IF(COUNTA(M28:R28)&gt;0,"Stated – no priority","Aurigo-only (no RFP source)"))))</f>
        <v>Must Have</v>
      </c>
      <c r="I28" s="12" t="n">
        <f aca="false">COUNTA(M28:R28)</f>
        <v>1</v>
      </c>
      <c r="J28" s="12" t="n">
        <f aca="false">COUNTIF(M28:R28,"M")</f>
        <v>1</v>
      </c>
      <c r="K28" s="8" t="str">
        <f aca="false">IF(I28=0,"Aurigo-only",IF(I28=1,"Single source",IF(I28=2,"Two sources",IF(I28&lt;=4,"Common (3-4)","Broad (5+)"))))</f>
        <v>Single source</v>
      </c>
      <c r="L28" s="8" t="str">
        <f aca="false">IF(J28&gt;=3,"Tier 1: Must in 3+ sources",IF(J28=2,"Tier 2: Must in 2 sources",IF(J28=1,"Tier 3: Must in 1 source",IF(COUNTIF(M28:R28,"S")&gt;0,"Tier 4: Should only",IF(COUNTIF(M28:R28,"C")&gt;0,"Tier 5: Could only",IF(I28&gt;0,"Tier 6: stated, no priority","Aurigo-only"))))))</f>
        <v>Tier 3: Must in 1 source</v>
      </c>
      <c r="M28" s="12"/>
      <c r="N28" s="12" t="s">
        <v>194</v>
      </c>
      <c r="O28" s="12"/>
      <c r="P28" s="12"/>
      <c r="Q28" s="12"/>
      <c r="R28" s="12"/>
      <c r="S28" s="8" t="s">
        <v>334</v>
      </c>
      <c r="T28" s="8"/>
      <c r="U28" s="8"/>
      <c r="V28" s="8" t="s">
        <v>204</v>
      </c>
      <c r="W28" s="8" t="s">
        <v>205</v>
      </c>
      <c r="X28" s="8"/>
      <c r="Y28" s="8"/>
      <c r="Z28" s="7" t="s">
        <v>52</v>
      </c>
      <c r="AA28" s="8" t="s">
        <v>53</v>
      </c>
      <c r="AB28" s="9" t="n">
        <v>72</v>
      </c>
      <c r="AC28" s="8" t="s">
        <v>319</v>
      </c>
    </row>
    <row r="29" customFormat="false" ht="37.5" hidden="false" customHeight="true" outlineLevel="0" collapsed="false">
      <c r="A29" s="12" t="s">
        <v>335</v>
      </c>
      <c r="B29" s="8" t="s">
        <v>188</v>
      </c>
      <c r="C29" s="8" t="s">
        <v>320</v>
      </c>
      <c r="D29" s="8" t="s">
        <v>321</v>
      </c>
      <c r="E29" s="8" t="s">
        <v>336</v>
      </c>
      <c r="F29" s="8" t="s">
        <v>337</v>
      </c>
      <c r="G29" s="8" t="s">
        <v>193</v>
      </c>
      <c r="H29" s="8" t="str">
        <f aca="false">IF(COUNTIF(M29:R29,"M")&gt;0,"Must Have",IF(COUNTIF(M29:R29,"S")&gt;0,"Should Have",IF(COUNTIF(M29:R29,"C")&gt;0,"Could Have",IF(COUNTA(M29:R29)&gt;0,"Stated – no priority","Aurigo-only (no RFP source)"))))</f>
        <v>Must Have</v>
      </c>
      <c r="I29" s="12" t="n">
        <f aca="false">COUNTA(M29:R29)</f>
        <v>1</v>
      </c>
      <c r="J29" s="12" t="n">
        <f aca="false">COUNTIF(M29:R29,"M")</f>
        <v>1</v>
      </c>
      <c r="K29" s="8" t="str">
        <f aca="false">IF(I29=0,"Aurigo-only",IF(I29=1,"Single source",IF(I29=2,"Two sources",IF(I29&lt;=4,"Common (3-4)","Broad (5+)"))))</f>
        <v>Single source</v>
      </c>
      <c r="L29" s="8" t="str">
        <f aca="false">IF(J29&gt;=3,"Tier 1: Must in 3+ sources",IF(J29=2,"Tier 2: Must in 2 sources",IF(J29=1,"Tier 3: Must in 1 source",IF(COUNTIF(M29:R29,"S")&gt;0,"Tier 4: Should only",IF(COUNTIF(M29:R29,"C")&gt;0,"Tier 5: Could only",IF(I29&gt;0,"Tier 6: stated, no priority","Aurigo-only"))))))</f>
        <v>Tier 3: Must in 1 source</v>
      </c>
      <c r="M29" s="12" t="s">
        <v>194</v>
      </c>
      <c r="N29" s="12"/>
      <c r="O29" s="12"/>
      <c r="P29" s="12"/>
      <c r="Q29" s="12"/>
      <c r="R29" s="12"/>
      <c r="S29" s="8" t="s">
        <v>338</v>
      </c>
      <c r="T29" s="8"/>
      <c r="U29" s="8"/>
      <c r="V29" s="8" t="s">
        <v>204</v>
      </c>
      <c r="W29" s="8" t="s">
        <v>205</v>
      </c>
      <c r="X29" s="8"/>
      <c r="Y29" s="8"/>
      <c r="Z29" s="7" t="s">
        <v>52</v>
      </c>
      <c r="AA29" s="8" t="s">
        <v>53</v>
      </c>
      <c r="AB29" s="9" t="n">
        <v>73</v>
      </c>
      <c r="AC29" s="8" t="s">
        <v>339</v>
      </c>
    </row>
    <row r="30" customFormat="false" ht="24.75" hidden="false" customHeight="true" outlineLevel="0" collapsed="false">
      <c r="A30" s="12" t="s">
        <v>340</v>
      </c>
      <c r="B30" s="8" t="s">
        <v>188</v>
      </c>
      <c r="C30" s="8" t="s">
        <v>320</v>
      </c>
      <c r="D30" s="8" t="s">
        <v>321</v>
      </c>
      <c r="E30" s="8" t="s">
        <v>341</v>
      </c>
      <c r="F30" s="8" t="s">
        <v>342</v>
      </c>
      <c r="G30" s="8" t="s">
        <v>193</v>
      </c>
      <c r="H30" s="8" t="str">
        <f aca="false">IF(COUNTIF(M30:R30,"M")&gt;0,"Must Have",IF(COUNTIF(M30:R30,"S")&gt;0,"Should Have",IF(COUNTIF(M30:R30,"C")&gt;0,"Could Have",IF(COUNTA(M30:R30)&gt;0,"Stated – no priority","Aurigo-only (no RFP source)"))))</f>
        <v>Must Have</v>
      </c>
      <c r="I30" s="12" t="n">
        <f aca="false">COUNTA(M30:R30)</f>
        <v>1</v>
      </c>
      <c r="J30" s="12" t="n">
        <f aca="false">COUNTIF(M30:R30,"M")</f>
        <v>1</v>
      </c>
      <c r="K30" s="8" t="str">
        <f aca="false">IF(I30=0,"Aurigo-only",IF(I30=1,"Single source",IF(I30=2,"Two sources",IF(I30&lt;=4,"Common (3-4)","Broad (5+)"))))</f>
        <v>Single source</v>
      </c>
      <c r="L30" s="8" t="str">
        <f aca="false">IF(J30&gt;=3,"Tier 1: Must in 3+ sources",IF(J30=2,"Tier 2: Must in 2 sources",IF(J30=1,"Tier 3: Must in 1 source",IF(COUNTIF(M30:R30,"S")&gt;0,"Tier 4: Should only",IF(COUNTIF(M30:R30,"C")&gt;0,"Tier 5: Could only",IF(I30&gt;0,"Tier 6: stated, no priority","Aurigo-only"))))))</f>
        <v>Tier 3: Must in 1 source</v>
      </c>
      <c r="M30" s="12" t="s">
        <v>194</v>
      </c>
      <c r="N30" s="12"/>
      <c r="O30" s="12"/>
      <c r="P30" s="12"/>
      <c r="Q30" s="12"/>
      <c r="R30" s="12"/>
      <c r="S30" s="8" t="s">
        <v>343</v>
      </c>
      <c r="T30" s="8"/>
      <c r="U30" s="8"/>
      <c r="V30" s="8" t="s">
        <v>204</v>
      </c>
      <c r="W30" s="8" t="s">
        <v>205</v>
      </c>
      <c r="X30" s="8"/>
      <c r="Y30" s="8"/>
      <c r="Z30" s="7" t="s">
        <v>52</v>
      </c>
      <c r="AA30" s="8" t="s">
        <v>53</v>
      </c>
      <c r="AB30" s="9" t="n">
        <v>74</v>
      </c>
      <c r="AC30" s="8" t="s">
        <v>344</v>
      </c>
    </row>
    <row r="31" customFormat="false" ht="24.75" hidden="false" customHeight="true" outlineLevel="0" collapsed="false">
      <c r="A31" s="12" t="s">
        <v>345</v>
      </c>
      <c r="B31" s="8" t="s">
        <v>188</v>
      </c>
      <c r="C31" s="8" t="s">
        <v>320</v>
      </c>
      <c r="D31" s="8" t="s">
        <v>321</v>
      </c>
      <c r="E31" s="8" t="s">
        <v>346</v>
      </c>
      <c r="F31" s="8" t="s">
        <v>347</v>
      </c>
      <c r="G31" s="8" t="s">
        <v>193</v>
      </c>
      <c r="H31" s="8" t="str">
        <f aca="false">IF(COUNTIF(M31:R31,"M")&gt;0,"Must Have",IF(COUNTIF(M31:R31,"S")&gt;0,"Should Have",IF(COUNTIF(M31:R31,"C")&gt;0,"Could Have",IF(COUNTA(M31:R31)&gt;0,"Stated – no priority","Aurigo-only (no RFP source)"))))</f>
        <v>Must Have</v>
      </c>
      <c r="I31" s="12" t="n">
        <f aca="false">COUNTA(M31:R31)</f>
        <v>1</v>
      </c>
      <c r="J31" s="12" t="n">
        <f aca="false">COUNTIF(M31:R31,"M")</f>
        <v>1</v>
      </c>
      <c r="K31" s="8" t="str">
        <f aca="false">IF(I31=0,"Aurigo-only",IF(I31=1,"Single source",IF(I31=2,"Two sources",IF(I31&lt;=4,"Common (3-4)","Broad (5+)"))))</f>
        <v>Single source</v>
      </c>
      <c r="L31" s="8" t="str">
        <f aca="false">IF(J31&gt;=3,"Tier 1: Must in 3+ sources",IF(J31=2,"Tier 2: Must in 2 sources",IF(J31=1,"Tier 3: Must in 1 source",IF(COUNTIF(M31:R31,"S")&gt;0,"Tier 4: Should only",IF(COUNTIF(M31:R31,"C")&gt;0,"Tier 5: Could only",IF(I31&gt;0,"Tier 6: stated, no priority","Aurigo-only"))))))</f>
        <v>Tier 3: Must in 1 source</v>
      </c>
      <c r="M31" s="12" t="s">
        <v>194</v>
      </c>
      <c r="N31" s="12"/>
      <c r="O31" s="12"/>
      <c r="P31" s="12"/>
      <c r="Q31" s="12"/>
      <c r="R31" s="12"/>
      <c r="S31" s="8" t="s">
        <v>348</v>
      </c>
      <c r="T31" s="8"/>
      <c r="U31" s="8"/>
      <c r="V31" s="8" t="s">
        <v>204</v>
      </c>
      <c r="W31" s="8" t="s">
        <v>205</v>
      </c>
      <c r="X31" s="8"/>
      <c r="Y31" s="8"/>
      <c r="Z31" s="7" t="s">
        <v>52</v>
      </c>
      <c r="AA31" s="8" t="s">
        <v>53</v>
      </c>
      <c r="AB31" s="9" t="n">
        <v>75</v>
      </c>
      <c r="AC31" s="8" t="s">
        <v>349</v>
      </c>
    </row>
    <row r="32" customFormat="false" ht="24.75" hidden="false" customHeight="true" outlineLevel="0" collapsed="false">
      <c r="A32" s="12" t="s">
        <v>350</v>
      </c>
      <c r="B32" s="8" t="s">
        <v>188</v>
      </c>
      <c r="C32" s="8" t="s">
        <v>320</v>
      </c>
      <c r="D32" s="8" t="s">
        <v>321</v>
      </c>
      <c r="E32" s="8" t="s">
        <v>351</v>
      </c>
      <c r="F32" s="8" t="s">
        <v>352</v>
      </c>
      <c r="G32" s="8" t="s">
        <v>193</v>
      </c>
      <c r="H32" s="8" t="str">
        <f aca="false">IF(COUNTIF(M32:R32,"M")&gt;0,"Must Have",IF(COUNTIF(M32:R32,"S")&gt;0,"Should Have",IF(COUNTIF(M32:R32,"C")&gt;0,"Could Have",IF(COUNTA(M32:R32)&gt;0,"Stated – no priority","Aurigo-only (no RFP source)"))))</f>
        <v>Must Have</v>
      </c>
      <c r="I32" s="12" t="n">
        <f aca="false">COUNTA(M32:R32)</f>
        <v>1</v>
      </c>
      <c r="J32" s="12" t="n">
        <f aca="false">COUNTIF(M32:R32,"M")</f>
        <v>1</v>
      </c>
      <c r="K32" s="8" t="str">
        <f aca="false">IF(I32=0,"Aurigo-only",IF(I32=1,"Single source",IF(I32=2,"Two sources",IF(I32&lt;=4,"Common (3-4)","Broad (5+)"))))</f>
        <v>Single source</v>
      </c>
      <c r="L32" s="8" t="str">
        <f aca="false">IF(J32&gt;=3,"Tier 1: Must in 3+ sources",IF(J32=2,"Tier 2: Must in 2 sources",IF(J32=1,"Tier 3: Must in 1 source",IF(COUNTIF(M32:R32,"S")&gt;0,"Tier 4: Should only",IF(COUNTIF(M32:R32,"C")&gt;0,"Tier 5: Could only",IF(I32&gt;0,"Tier 6: stated, no priority","Aurigo-only"))))))</f>
        <v>Tier 3: Must in 1 source</v>
      </c>
      <c r="M32" s="12" t="s">
        <v>194</v>
      </c>
      <c r="N32" s="12"/>
      <c r="O32" s="12"/>
      <c r="P32" s="12"/>
      <c r="Q32" s="12"/>
      <c r="R32" s="12"/>
      <c r="S32" s="8" t="s">
        <v>353</v>
      </c>
      <c r="T32" s="8"/>
      <c r="U32" s="8"/>
      <c r="V32" s="8" t="s">
        <v>204</v>
      </c>
      <c r="W32" s="8" t="s">
        <v>205</v>
      </c>
      <c r="X32" s="8" t="s">
        <v>354</v>
      </c>
      <c r="Y32" s="8"/>
      <c r="Z32" s="7" t="s">
        <v>52</v>
      </c>
      <c r="AA32" s="8" t="s">
        <v>53</v>
      </c>
      <c r="AB32" s="9" t="n">
        <v>76</v>
      </c>
      <c r="AC32" s="8" t="s">
        <v>319</v>
      </c>
    </row>
    <row r="33" customFormat="false" ht="37.5" hidden="false" customHeight="true" outlineLevel="0" collapsed="false">
      <c r="A33" s="12" t="s">
        <v>355</v>
      </c>
      <c r="B33" s="8" t="s">
        <v>188</v>
      </c>
      <c r="C33" s="8" t="s">
        <v>320</v>
      </c>
      <c r="D33" s="8" t="s">
        <v>356</v>
      </c>
      <c r="E33" s="8" t="s">
        <v>357</v>
      </c>
      <c r="F33" s="8" t="s">
        <v>358</v>
      </c>
      <c r="G33" s="8" t="s">
        <v>193</v>
      </c>
      <c r="H33" s="8" t="str">
        <f aca="false">IF(COUNTIF(M33:R33,"M")&gt;0,"Must Have",IF(COUNTIF(M33:R33,"S")&gt;0,"Should Have",IF(COUNTIF(M33:R33,"C")&gt;0,"Could Have",IF(COUNTA(M33:R33)&gt;0,"Stated – no priority","Aurigo-only (no RFP source)"))))</f>
        <v>Must Have</v>
      </c>
      <c r="I33" s="12" t="n">
        <f aca="false">COUNTA(M33:R33)</f>
        <v>1</v>
      </c>
      <c r="J33" s="12" t="n">
        <f aca="false">COUNTIF(M33:R33,"M")</f>
        <v>1</v>
      </c>
      <c r="K33" s="8" t="str">
        <f aca="false">IF(I33=0,"Aurigo-only",IF(I33=1,"Single source",IF(I33=2,"Two sources",IF(I33&lt;=4,"Common (3-4)","Broad (5+)"))))</f>
        <v>Single source</v>
      </c>
      <c r="L33" s="8" t="str">
        <f aca="false">IF(J33&gt;=3,"Tier 1: Must in 3+ sources",IF(J33=2,"Tier 2: Must in 2 sources",IF(J33=1,"Tier 3: Must in 1 source",IF(COUNTIF(M33:R33,"S")&gt;0,"Tier 4: Should only",IF(COUNTIF(M33:R33,"C")&gt;0,"Tier 5: Could only",IF(I33&gt;0,"Tier 6: stated, no priority","Aurigo-only"))))))</f>
        <v>Tier 3: Must in 1 source</v>
      </c>
      <c r="M33" s="12" t="s">
        <v>194</v>
      </c>
      <c r="N33" s="12"/>
      <c r="O33" s="12"/>
      <c r="P33" s="12"/>
      <c r="Q33" s="12"/>
      <c r="R33" s="12"/>
      <c r="S33" s="8" t="s">
        <v>359</v>
      </c>
      <c r="T33" s="8"/>
      <c r="U33" s="8"/>
      <c r="V33" s="8" t="s">
        <v>204</v>
      </c>
      <c r="W33" s="8" t="s">
        <v>205</v>
      </c>
      <c r="X33" s="8"/>
      <c r="Y33" s="8"/>
      <c r="Z33" s="7" t="s">
        <v>52</v>
      </c>
      <c r="AA33" s="8" t="s">
        <v>53</v>
      </c>
      <c r="AB33" s="9" t="n">
        <v>66</v>
      </c>
      <c r="AC33" s="8" t="s">
        <v>360</v>
      </c>
    </row>
    <row r="34" customFormat="false" ht="24.75" hidden="false" customHeight="true" outlineLevel="0" collapsed="false">
      <c r="A34" s="12" t="s">
        <v>361</v>
      </c>
      <c r="B34" s="8" t="s">
        <v>188</v>
      </c>
      <c r="C34" s="8" t="s">
        <v>320</v>
      </c>
      <c r="D34" s="8" t="s">
        <v>362</v>
      </c>
      <c r="E34" s="8" t="s">
        <v>363</v>
      </c>
      <c r="F34" s="8" t="s">
        <v>364</v>
      </c>
      <c r="G34" s="8" t="s">
        <v>193</v>
      </c>
      <c r="H34" s="8" t="str">
        <f aca="false">IF(COUNTIF(M34:R34,"M")&gt;0,"Must Have",IF(COUNTIF(M34:R34,"S")&gt;0,"Should Have",IF(COUNTIF(M34:R34,"C")&gt;0,"Could Have",IF(COUNTA(M34:R34)&gt;0,"Stated – no priority","Aurigo-only (no RFP source)"))))</f>
        <v>Must Have</v>
      </c>
      <c r="I34" s="12" t="n">
        <f aca="false">COUNTA(M34:R34)</f>
        <v>1</v>
      </c>
      <c r="J34" s="12" t="n">
        <f aca="false">COUNTIF(M34:R34,"M")</f>
        <v>1</v>
      </c>
      <c r="K34" s="8" t="str">
        <f aca="false">IF(I34=0,"Aurigo-only",IF(I34=1,"Single source",IF(I34=2,"Two sources",IF(I34&lt;=4,"Common (3-4)","Broad (5+)"))))</f>
        <v>Single source</v>
      </c>
      <c r="L34" s="8" t="str">
        <f aca="false">IF(J34&gt;=3,"Tier 1: Must in 3+ sources",IF(J34=2,"Tier 2: Must in 2 sources",IF(J34=1,"Tier 3: Must in 1 source",IF(COUNTIF(M34:R34,"S")&gt;0,"Tier 4: Should only",IF(COUNTIF(M34:R34,"C")&gt;0,"Tier 5: Could only",IF(I34&gt;0,"Tier 6: stated, no priority","Aurigo-only"))))))</f>
        <v>Tier 3: Must in 1 source</v>
      </c>
      <c r="M34" s="12" t="s">
        <v>194</v>
      </c>
      <c r="N34" s="12"/>
      <c r="O34" s="12"/>
      <c r="P34" s="12"/>
      <c r="Q34" s="12"/>
      <c r="R34" s="12"/>
      <c r="S34" s="8" t="s">
        <v>365</v>
      </c>
      <c r="T34" s="8"/>
      <c r="U34" s="8"/>
      <c r="V34" s="8" t="s">
        <v>204</v>
      </c>
      <c r="W34" s="8" t="s">
        <v>205</v>
      </c>
      <c r="X34" s="8"/>
      <c r="Y34" s="8"/>
      <c r="Z34" s="7" t="s">
        <v>129</v>
      </c>
      <c r="AA34" s="8" t="s">
        <v>130</v>
      </c>
      <c r="AB34" s="9" t="n">
        <v>298</v>
      </c>
      <c r="AC34" s="8" t="s">
        <v>366</v>
      </c>
    </row>
    <row r="35" customFormat="false" ht="37.5" hidden="false" customHeight="true" outlineLevel="0" collapsed="false">
      <c r="A35" s="12" t="s">
        <v>367</v>
      </c>
      <c r="B35" s="8" t="s">
        <v>188</v>
      </c>
      <c r="C35" s="8" t="s">
        <v>320</v>
      </c>
      <c r="D35" s="8" t="s">
        <v>321</v>
      </c>
      <c r="E35" s="8" t="s">
        <v>368</v>
      </c>
      <c r="F35" s="8" t="s">
        <v>369</v>
      </c>
      <c r="G35" s="8" t="s">
        <v>370</v>
      </c>
      <c r="H35" s="8" t="str">
        <f aca="false">IF(COUNTIF(M35:R35,"M")&gt;0,"Must Have",IF(COUNTIF(M35:R35,"S")&gt;0,"Should Have",IF(COUNTIF(M35:R35,"C")&gt;0,"Could Have",IF(COUNTA(M35:R35)&gt;0,"Stated – no priority","Aurigo-only (no RFP source)"))))</f>
        <v>Must Have</v>
      </c>
      <c r="I35" s="12" t="n">
        <f aca="false">COUNTA(M35:R35)</f>
        <v>1</v>
      </c>
      <c r="J35" s="12" t="n">
        <f aca="false">COUNTIF(M35:R35,"M")</f>
        <v>1</v>
      </c>
      <c r="K35" s="8" t="str">
        <f aca="false">IF(I35=0,"Aurigo-only",IF(I35=1,"Single source",IF(I35=2,"Two sources",IF(I35&lt;=4,"Common (3-4)","Broad (5+)"))))</f>
        <v>Single source</v>
      </c>
      <c r="L35" s="8" t="str">
        <f aca="false">IF(J35&gt;=3,"Tier 1: Must in 3+ sources",IF(J35=2,"Tier 2: Must in 2 sources",IF(J35=1,"Tier 3: Must in 1 source",IF(COUNTIF(M35:R35,"S")&gt;0,"Tier 4: Should only",IF(COUNTIF(M35:R35,"C")&gt;0,"Tier 5: Could only",IF(I35&gt;0,"Tier 6: stated, no priority","Aurigo-only"))))))</f>
        <v>Tier 3: Must in 1 source</v>
      </c>
      <c r="M35" s="12" t="s">
        <v>194</v>
      </c>
      <c r="N35" s="12"/>
      <c r="O35" s="12"/>
      <c r="P35" s="12"/>
      <c r="Q35" s="12"/>
      <c r="R35" s="12"/>
      <c r="S35" s="8" t="s">
        <v>371</v>
      </c>
      <c r="T35" s="8"/>
      <c r="U35" s="8"/>
      <c r="V35" s="8" t="s">
        <v>204</v>
      </c>
      <c r="W35" s="8" t="s">
        <v>205</v>
      </c>
      <c r="X35" s="8"/>
      <c r="Y35" s="8"/>
      <c r="Z35" s="7" t="s">
        <v>52</v>
      </c>
      <c r="AA35" s="8" t="s">
        <v>53</v>
      </c>
      <c r="AB35" s="9" t="n">
        <v>78</v>
      </c>
      <c r="AC35" s="8" t="s">
        <v>372</v>
      </c>
    </row>
    <row r="36" customFormat="false" ht="37.5" hidden="false" customHeight="true" outlineLevel="0" collapsed="false">
      <c r="A36" s="12" t="s">
        <v>373</v>
      </c>
      <c r="B36" s="8" t="s">
        <v>188</v>
      </c>
      <c r="C36" s="8" t="s">
        <v>320</v>
      </c>
      <c r="D36" s="8" t="s">
        <v>321</v>
      </c>
      <c r="E36" s="8" t="s">
        <v>374</v>
      </c>
      <c r="F36" s="8" t="s">
        <v>375</v>
      </c>
      <c r="G36" s="8" t="s">
        <v>193</v>
      </c>
      <c r="H36" s="8" t="str">
        <f aca="false">IF(COUNTIF(M36:R36,"M")&gt;0,"Must Have",IF(COUNTIF(M36:R36,"S")&gt;0,"Should Have",IF(COUNTIF(M36:R36,"C")&gt;0,"Could Have",IF(COUNTA(M36:R36)&gt;0,"Stated – no priority","Aurigo-only (no RFP source)"))))</f>
        <v>Must Have</v>
      </c>
      <c r="I36" s="12" t="n">
        <f aca="false">COUNTA(M36:R36)</f>
        <v>1</v>
      </c>
      <c r="J36" s="12" t="n">
        <f aca="false">COUNTIF(M36:R36,"M")</f>
        <v>1</v>
      </c>
      <c r="K36" s="8" t="str">
        <f aca="false">IF(I36=0,"Aurigo-only",IF(I36=1,"Single source",IF(I36=2,"Two sources",IF(I36&lt;=4,"Common (3-4)","Broad (5+)"))))</f>
        <v>Single source</v>
      </c>
      <c r="L36" s="8" t="str">
        <f aca="false">IF(J36&gt;=3,"Tier 1: Must in 3+ sources",IF(J36=2,"Tier 2: Must in 2 sources",IF(J36=1,"Tier 3: Must in 1 source",IF(COUNTIF(M36:R36,"S")&gt;0,"Tier 4: Should only",IF(COUNTIF(M36:R36,"C")&gt;0,"Tier 5: Could only",IF(I36&gt;0,"Tier 6: stated, no priority","Aurigo-only"))))))</f>
        <v>Tier 3: Must in 1 source</v>
      </c>
      <c r="M36" s="12" t="s">
        <v>194</v>
      </c>
      <c r="N36" s="12"/>
      <c r="O36" s="12"/>
      <c r="P36" s="12"/>
      <c r="Q36" s="12"/>
      <c r="R36" s="12"/>
      <c r="S36" s="8" t="s">
        <v>376</v>
      </c>
      <c r="T36" s="8"/>
      <c r="U36" s="8"/>
      <c r="V36" s="8" t="s">
        <v>204</v>
      </c>
      <c r="W36" s="8" t="s">
        <v>205</v>
      </c>
      <c r="X36" s="8" t="s">
        <v>377</v>
      </c>
      <c r="Y36" s="8"/>
      <c r="Z36" s="7" t="s">
        <v>52</v>
      </c>
      <c r="AA36" s="8" t="s">
        <v>53</v>
      </c>
      <c r="AB36" s="9" t="n">
        <v>79</v>
      </c>
      <c r="AC36" s="8" t="s">
        <v>378</v>
      </c>
    </row>
    <row r="37" customFormat="false" ht="37.5" hidden="false" customHeight="true" outlineLevel="0" collapsed="false">
      <c r="A37" s="12" t="s">
        <v>379</v>
      </c>
      <c r="B37" s="8" t="s">
        <v>188</v>
      </c>
      <c r="C37" s="8" t="s">
        <v>380</v>
      </c>
      <c r="D37" s="8" t="s">
        <v>381</v>
      </c>
      <c r="E37" s="8" t="s">
        <v>382</v>
      </c>
      <c r="F37" s="8" t="s">
        <v>383</v>
      </c>
      <c r="G37" s="8" t="s">
        <v>193</v>
      </c>
      <c r="H37" s="8" t="str">
        <f aca="false">IF(COUNTIF(M37:R37,"M")&gt;0,"Must Have",IF(COUNTIF(M37:R37,"S")&gt;0,"Should Have",IF(COUNTIF(M37:R37,"C")&gt;0,"Could Have",IF(COUNTA(M37:R37)&gt;0,"Stated – no priority","Aurigo-only (no RFP source)"))))</f>
        <v>Must Have</v>
      </c>
      <c r="I37" s="12" t="n">
        <f aca="false">COUNTA(M37:R37)</f>
        <v>1</v>
      </c>
      <c r="J37" s="12" t="n">
        <f aca="false">COUNTIF(M37:R37,"M")</f>
        <v>1</v>
      </c>
      <c r="K37" s="8" t="str">
        <f aca="false">IF(I37=0,"Aurigo-only",IF(I37=1,"Single source",IF(I37=2,"Two sources",IF(I37&lt;=4,"Common (3-4)","Broad (5+)"))))</f>
        <v>Single source</v>
      </c>
      <c r="L37" s="8" t="str">
        <f aca="false">IF(J37&gt;=3,"Tier 1: Must in 3+ sources",IF(J37=2,"Tier 2: Must in 2 sources",IF(J37=1,"Tier 3: Must in 1 source",IF(COUNTIF(M37:R37,"S")&gt;0,"Tier 4: Should only",IF(COUNTIF(M37:R37,"C")&gt;0,"Tier 5: Could only",IF(I37&gt;0,"Tier 6: stated, no priority","Aurigo-only"))))))</f>
        <v>Tier 3: Must in 1 source</v>
      </c>
      <c r="M37" s="12" t="s">
        <v>194</v>
      </c>
      <c r="N37" s="12"/>
      <c r="O37" s="12"/>
      <c r="P37" s="12"/>
      <c r="Q37" s="12"/>
      <c r="R37" s="12"/>
      <c r="S37" s="8" t="s">
        <v>384</v>
      </c>
      <c r="T37" s="8"/>
      <c r="U37" s="8"/>
      <c r="V37" s="8" t="s">
        <v>204</v>
      </c>
      <c r="W37" s="8" t="s">
        <v>205</v>
      </c>
      <c r="X37" s="8"/>
      <c r="Y37" s="8"/>
      <c r="Z37" s="7" t="s">
        <v>55</v>
      </c>
      <c r="AA37" s="8" t="s">
        <v>56</v>
      </c>
      <c r="AB37" s="9" t="n">
        <v>82</v>
      </c>
      <c r="AC37" s="8" t="s">
        <v>385</v>
      </c>
    </row>
    <row r="38" customFormat="false" ht="24.75" hidden="false" customHeight="true" outlineLevel="0" collapsed="false">
      <c r="A38" s="12" t="s">
        <v>386</v>
      </c>
      <c r="B38" s="8" t="s">
        <v>188</v>
      </c>
      <c r="C38" s="8" t="s">
        <v>380</v>
      </c>
      <c r="D38" s="8" t="s">
        <v>381</v>
      </c>
      <c r="E38" s="8" t="s">
        <v>387</v>
      </c>
      <c r="F38" s="8" t="s">
        <v>388</v>
      </c>
      <c r="G38" s="8" t="s">
        <v>193</v>
      </c>
      <c r="H38" s="8" t="str">
        <f aca="false">IF(COUNTIF(M38:R38,"M")&gt;0,"Must Have",IF(COUNTIF(M38:R38,"S")&gt;0,"Should Have",IF(COUNTIF(M38:R38,"C")&gt;0,"Could Have",IF(COUNTA(M38:R38)&gt;0,"Stated – no priority","Aurigo-only (no RFP source)"))))</f>
        <v>Must Have</v>
      </c>
      <c r="I38" s="12" t="n">
        <f aca="false">COUNTA(M38:R38)</f>
        <v>1</v>
      </c>
      <c r="J38" s="12" t="n">
        <f aca="false">COUNTIF(M38:R38,"M")</f>
        <v>1</v>
      </c>
      <c r="K38" s="8" t="str">
        <f aca="false">IF(I38=0,"Aurigo-only",IF(I38=1,"Single source",IF(I38=2,"Two sources",IF(I38&lt;=4,"Common (3-4)","Broad (5+)"))))</f>
        <v>Single source</v>
      </c>
      <c r="L38" s="8" t="str">
        <f aca="false">IF(J38&gt;=3,"Tier 1: Must in 3+ sources",IF(J38=2,"Tier 2: Must in 2 sources",IF(J38=1,"Tier 3: Must in 1 source",IF(COUNTIF(M38:R38,"S")&gt;0,"Tier 4: Should only",IF(COUNTIF(M38:R38,"C")&gt;0,"Tier 5: Could only",IF(I38&gt;0,"Tier 6: stated, no priority","Aurigo-only"))))))</f>
        <v>Tier 3: Must in 1 source</v>
      </c>
      <c r="M38" s="12" t="s">
        <v>194</v>
      </c>
      <c r="N38" s="12"/>
      <c r="O38" s="12"/>
      <c r="P38" s="12"/>
      <c r="Q38" s="12"/>
      <c r="R38" s="12"/>
      <c r="S38" s="8" t="s">
        <v>389</v>
      </c>
      <c r="T38" s="8"/>
      <c r="U38" s="8"/>
      <c r="V38" s="8" t="s">
        <v>204</v>
      </c>
      <c r="W38" s="8" t="s">
        <v>205</v>
      </c>
      <c r="X38" s="8"/>
      <c r="Y38" s="8"/>
      <c r="Z38" s="7" t="s">
        <v>55</v>
      </c>
      <c r="AA38" s="8" t="s">
        <v>56</v>
      </c>
      <c r="AB38" s="9" t="n">
        <v>81</v>
      </c>
      <c r="AC38" s="8" t="s">
        <v>217</v>
      </c>
    </row>
    <row r="39" customFormat="false" ht="24.75" hidden="false" customHeight="true" outlineLevel="0" collapsed="false">
      <c r="A39" s="12" t="s">
        <v>390</v>
      </c>
      <c r="B39" s="8" t="s">
        <v>188</v>
      </c>
      <c r="C39" s="8" t="s">
        <v>380</v>
      </c>
      <c r="D39" s="8" t="s">
        <v>381</v>
      </c>
      <c r="E39" s="8" t="s">
        <v>391</v>
      </c>
      <c r="F39" s="8" t="s">
        <v>392</v>
      </c>
      <c r="G39" s="8" t="s">
        <v>193</v>
      </c>
      <c r="H39" s="8" t="str">
        <f aca="false">IF(COUNTIF(M39:R39,"M")&gt;0,"Must Have",IF(COUNTIF(M39:R39,"S")&gt;0,"Should Have",IF(COUNTIF(M39:R39,"C")&gt;0,"Could Have",IF(COUNTA(M39:R39)&gt;0,"Stated – no priority","Aurigo-only (no RFP source)"))))</f>
        <v>Must Have</v>
      </c>
      <c r="I39" s="12" t="n">
        <f aca="false">COUNTA(M39:R39)</f>
        <v>1</v>
      </c>
      <c r="J39" s="12" t="n">
        <f aca="false">COUNTIF(M39:R39,"M")</f>
        <v>1</v>
      </c>
      <c r="K39" s="8" t="str">
        <f aca="false">IF(I39=0,"Aurigo-only",IF(I39=1,"Single source",IF(I39=2,"Two sources",IF(I39&lt;=4,"Common (3-4)","Broad (5+)"))))</f>
        <v>Single source</v>
      </c>
      <c r="L39" s="8" t="str">
        <f aca="false">IF(J39&gt;=3,"Tier 1: Must in 3+ sources",IF(J39=2,"Tier 2: Must in 2 sources",IF(J39=1,"Tier 3: Must in 1 source",IF(COUNTIF(M39:R39,"S")&gt;0,"Tier 4: Should only",IF(COUNTIF(M39:R39,"C")&gt;0,"Tier 5: Could only",IF(I39&gt;0,"Tier 6: stated, no priority","Aurigo-only"))))))</f>
        <v>Tier 3: Must in 1 source</v>
      </c>
      <c r="M39" s="12" t="s">
        <v>194</v>
      </c>
      <c r="N39" s="12"/>
      <c r="O39" s="12"/>
      <c r="P39" s="12"/>
      <c r="Q39" s="12"/>
      <c r="R39" s="12"/>
      <c r="S39" s="8" t="s">
        <v>393</v>
      </c>
      <c r="T39" s="8"/>
      <c r="U39" s="8"/>
      <c r="V39" s="8" t="s">
        <v>204</v>
      </c>
      <c r="W39" s="8" t="s">
        <v>205</v>
      </c>
      <c r="X39" s="8"/>
      <c r="Y39" s="8"/>
      <c r="Z39" s="7" t="s">
        <v>55</v>
      </c>
      <c r="AA39" s="8" t="s">
        <v>56</v>
      </c>
      <c r="AB39" s="9" t="n">
        <v>83</v>
      </c>
      <c r="AC39" s="8" t="s">
        <v>379</v>
      </c>
    </row>
    <row r="40" customFormat="false" ht="24.75" hidden="false" customHeight="true" outlineLevel="0" collapsed="false">
      <c r="A40" s="12" t="s">
        <v>394</v>
      </c>
      <c r="B40" s="8" t="s">
        <v>188</v>
      </c>
      <c r="C40" s="8" t="s">
        <v>380</v>
      </c>
      <c r="D40" s="8" t="s">
        <v>381</v>
      </c>
      <c r="E40" s="8" t="s">
        <v>395</v>
      </c>
      <c r="F40" s="8" t="s">
        <v>396</v>
      </c>
      <c r="G40" s="8" t="s">
        <v>397</v>
      </c>
      <c r="H40" s="8" t="str">
        <f aca="false">IF(COUNTIF(M40:R40,"M")&gt;0,"Must Have",IF(COUNTIF(M40:R40,"S")&gt;0,"Should Have",IF(COUNTIF(M40:R40,"C")&gt;0,"Could Have",IF(COUNTA(M40:R40)&gt;0,"Stated – no priority","Aurigo-only (no RFP source)"))))</f>
        <v>Must Have</v>
      </c>
      <c r="I40" s="12" t="n">
        <f aca="false">COUNTA(M40:R40)</f>
        <v>1</v>
      </c>
      <c r="J40" s="12" t="n">
        <f aca="false">COUNTIF(M40:R40,"M")</f>
        <v>1</v>
      </c>
      <c r="K40" s="8" t="str">
        <f aca="false">IF(I40=0,"Aurigo-only",IF(I40=1,"Single source",IF(I40=2,"Two sources",IF(I40&lt;=4,"Common (3-4)","Broad (5+)"))))</f>
        <v>Single source</v>
      </c>
      <c r="L40" s="8" t="str">
        <f aca="false">IF(J40&gt;=3,"Tier 1: Must in 3+ sources",IF(J40=2,"Tier 2: Must in 2 sources",IF(J40=1,"Tier 3: Must in 1 source",IF(COUNTIF(M40:R40,"S")&gt;0,"Tier 4: Should only",IF(COUNTIF(M40:R40,"C")&gt;0,"Tier 5: Could only",IF(I40&gt;0,"Tier 6: stated, no priority","Aurigo-only"))))))</f>
        <v>Tier 3: Must in 1 source</v>
      </c>
      <c r="M40" s="12" t="s">
        <v>194</v>
      </c>
      <c r="N40" s="12"/>
      <c r="O40" s="12"/>
      <c r="P40" s="12"/>
      <c r="Q40" s="12"/>
      <c r="R40" s="12"/>
      <c r="S40" s="8" t="s">
        <v>398</v>
      </c>
      <c r="T40" s="8"/>
      <c r="U40" s="8" t="s">
        <v>399</v>
      </c>
      <c r="V40" s="8" t="s">
        <v>204</v>
      </c>
      <c r="W40" s="8" t="s">
        <v>205</v>
      </c>
      <c r="X40" s="8"/>
      <c r="Y40" s="8"/>
      <c r="Z40" s="7" t="s">
        <v>135</v>
      </c>
      <c r="AA40" s="8" t="s">
        <v>136</v>
      </c>
      <c r="AB40" s="9" t="n">
        <v>316</v>
      </c>
      <c r="AC40" s="8" t="s">
        <v>379</v>
      </c>
    </row>
    <row r="41" customFormat="false" ht="24.75" hidden="false" customHeight="true" outlineLevel="0" collapsed="false">
      <c r="A41" s="12" t="s">
        <v>400</v>
      </c>
      <c r="B41" s="8" t="s">
        <v>188</v>
      </c>
      <c r="C41" s="8" t="s">
        <v>380</v>
      </c>
      <c r="D41" s="8" t="s">
        <v>381</v>
      </c>
      <c r="E41" s="8" t="s">
        <v>401</v>
      </c>
      <c r="F41" s="8" t="s">
        <v>402</v>
      </c>
      <c r="G41" s="8" t="s">
        <v>403</v>
      </c>
      <c r="H41" s="8" t="str">
        <f aca="false">IF(COUNTIF(M41:R41,"M")&gt;0,"Must Have",IF(COUNTIF(M41:R41,"S")&gt;0,"Should Have",IF(COUNTIF(M41:R41,"C")&gt;0,"Could Have",IF(COUNTA(M41:R41)&gt;0,"Stated – no priority","Aurigo-only (no RFP source)"))))</f>
        <v>Must Have</v>
      </c>
      <c r="I41" s="12" t="n">
        <f aca="false">COUNTA(M41:R41)</f>
        <v>1</v>
      </c>
      <c r="J41" s="12" t="n">
        <f aca="false">COUNTIF(M41:R41,"M")</f>
        <v>1</v>
      </c>
      <c r="K41" s="8" t="str">
        <f aca="false">IF(I41=0,"Aurigo-only",IF(I41=1,"Single source",IF(I41=2,"Two sources",IF(I41&lt;=4,"Common (3-4)","Broad (5+)"))))</f>
        <v>Single source</v>
      </c>
      <c r="L41" s="8" t="str">
        <f aca="false">IF(J41&gt;=3,"Tier 1: Must in 3+ sources",IF(J41=2,"Tier 2: Must in 2 sources",IF(J41=1,"Tier 3: Must in 1 source",IF(COUNTIF(M41:R41,"S")&gt;0,"Tier 4: Should only",IF(COUNTIF(M41:R41,"C")&gt;0,"Tier 5: Could only",IF(I41&gt;0,"Tier 6: stated, no priority","Aurigo-only"))))))</f>
        <v>Tier 3: Must in 1 source</v>
      </c>
      <c r="M41" s="12" t="s">
        <v>194</v>
      </c>
      <c r="N41" s="12"/>
      <c r="O41" s="12"/>
      <c r="P41" s="12"/>
      <c r="Q41" s="12"/>
      <c r="R41" s="12"/>
      <c r="S41" s="8" t="s">
        <v>404</v>
      </c>
      <c r="T41" s="8"/>
      <c r="U41" s="8"/>
      <c r="V41" s="8" t="s">
        <v>204</v>
      </c>
      <c r="W41" s="8" t="s">
        <v>205</v>
      </c>
      <c r="X41" s="8"/>
      <c r="Y41" s="8"/>
      <c r="Z41" s="7" t="s">
        <v>80</v>
      </c>
      <c r="AA41" s="8" t="s">
        <v>81</v>
      </c>
      <c r="AB41" s="9" t="n">
        <v>185</v>
      </c>
      <c r="AC41" s="8" t="s">
        <v>405</v>
      </c>
    </row>
    <row r="42" customFormat="false" ht="24.75" hidden="false" customHeight="true" outlineLevel="0" collapsed="false">
      <c r="A42" s="12" t="s">
        <v>406</v>
      </c>
      <c r="B42" s="8" t="s">
        <v>188</v>
      </c>
      <c r="C42" s="8" t="s">
        <v>380</v>
      </c>
      <c r="D42" s="8" t="s">
        <v>381</v>
      </c>
      <c r="E42" s="8" t="s">
        <v>407</v>
      </c>
      <c r="F42" s="8" t="s">
        <v>408</v>
      </c>
      <c r="G42" s="8" t="s">
        <v>409</v>
      </c>
      <c r="H42" s="8" t="str">
        <f aca="false">IF(COUNTIF(M42:R42,"M")&gt;0,"Must Have",IF(COUNTIF(M42:R42,"S")&gt;0,"Should Have",IF(COUNTIF(M42:R42,"C")&gt;0,"Could Have",IF(COUNTA(M42:R42)&gt;0,"Stated – no priority","Aurigo-only (no RFP source)"))))</f>
        <v>Must Have</v>
      </c>
      <c r="I42" s="12" t="n">
        <f aca="false">COUNTA(M42:R42)</f>
        <v>1</v>
      </c>
      <c r="J42" s="12" t="n">
        <f aca="false">COUNTIF(M42:R42,"M")</f>
        <v>1</v>
      </c>
      <c r="K42" s="8" t="str">
        <f aca="false">IF(I42=0,"Aurigo-only",IF(I42=1,"Single source",IF(I42=2,"Two sources",IF(I42&lt;=4,"Common (3-4)","Broad (5+)"))))</f>
        <v>Single source</v>
      </c>
      <c r="L42" s="8" t="str">
        <f aca="false">IF(J42&gt;=3,"Tier 1: Must in 3+ sources",IF(J42=2,"Tier 2: Must in 2 sources",IF(J42=1,"Tier 3: Must in 1 source",IF(COUNTIF(M42:R42,"S")&gt;0,"Tier 4: Should only",IF(COUNTIF(M42:R42,"C")&gt;0,"Tier 5: Could only",IF(I42&gt;0,"Tier 6: stated, no priority","Aurigo-only"))))))</f>
        <v>Tier 3: Must in 1 source</v>
      </c>
      <c r="M42" s="12" t="s">
        <v>194</v>
      </c>
      <c r="N42" s="12"/>
      <c r="O42" s="12"/>
      <c r="P42" s="12"/>
      <c r="Q42" s="12"/>
      <c r="R42" s="12"/>
      <c r="S42" s="8" t="s">
        <v>410</v>
      </c>
      <c r="T42" s="8"/>
      <c r="U42" s="8"/>
      <c r="V42" s="8" t="s">
        <v>204</v>
      </c>
      <c r="W42" s="8" t="s">
        <v>205</v>
      </c>
      <c r="X42" s="8"/>
      <c r="Y42" s="8"/>
      <c r="Z42" s="7" t="s">
        <v>55</v>
      </c>
      <c r="AA42" s="8" t="s">
        <v>56</v>
      </c>
      <c r="AB42" s="9" t="n">
        <v>84</v>
      </c>
      <c r="AC42" s="8" t="s">
        <v>411</v>
      </c>
    </row>
    <row r="43" customFormat="false" ht="24.75" hidden="false" customHeight="true" outlineLevel="0" collapsed="false">
      <c r="A43" s="12" t="s">
        <v>412</v>
      </c>
      <c r="B43" s="8" t="s">
        <v>188</v>
      </c>
      <c r="C43" s="8" t="s">
        <v>380</v>
      </c>
      <c r="D43" s="8" t="s">
        <v>381</v>
      </c>
      <c r="E43" s="8" t="s">
        <v>413</v>
      </c>
      <c r="F43" s="8" t="s">
        <v>414</v>
      </c>
      <c r="G43" s="8" t="s">
        <v>193</v>
      </c>
      <c r="H43" s="8" t="str">
        <f aca="false">IF(COUNTIF(M43:R43,"M")&gt;0,"Must Have",IF(COUNTIF(M43:R43,"S")&gt;0,"Should Have",IF(COUNTIF(M43:R43,"C")&gt;0,"Could Have",IF(COUNTA(M43:R43)&gt;0,"Stated – no priority","Aurigo-only (no RFP source)"))))</f>
        <v>Must Have</v>
      </c>
      <c r="I43" s="12" t="n">
        <f aca="false">COUNTA(M43:R43)</f>
        <v>1</v>
      </c>
      <c r="J43" s="12" t="n">
        <f aca="false">COUNTIF(M43:R43,"M")</f>
        <v>1</v>
      </c>
      <c r="K43" s="8" t="str">
        <f aca="false">IF(I43=0,"Aurigo-only",IF(I43=1,"Single source",IF(I43=2,"Two sources",IF(I43&lt;=4,"Common (3-4)","Broad (5+)"))))</f>
        <v>Single source</v>
      </c>
      <c r="L43" s="8" t="str">
        <f aca="false">IF(J43&gt;=3,"Tier 1: Must in 3+ sources",IF(J43=2,"Tier 2: Must in 2 sources",IF(J43=1,"Tier 3: Must in 1 source",IF(COUNTIF(M43:R43,"S")&gt;0,"Tier 4: Should only",IF(COUNTIF(M43:R43,"C")&gt;0,"Tier 5: Could only",IF(I43&gt;0,"Tier 6: stated, no priority","Aurigo-only"))))))</f>
        <v>Tier 3: Must in 1 source</v>
      </c>
      <c r="M43" s="12" t="s">
        <v>194</v>
      </c>
      <c r="N43" s="12"/>
      <c r="O43" s="12"/>
      <c r="P43" s="12"/>
      <c r="Q43" s="12"/>
      <c r="R43" s="12"/>
      <c r="S43" s="8" t="s">
        <v>415</v>
      </c>
      <c r="T43" s="8"/>
      <c r="U43" s="8"/>
      <c r="V43" s="8" t="s">
        <v>204</v>
      </c>
      <c r="W43" s="8" t="s">
        <v>205</v>
      </c>
      <c r="X43" s="8" t="s">
        <v>416</v>
      </c>
      <c r="Y43" s="8"/>
      <c r="Z43" s="7" t="s">
        <v>55</v>
      </c>
      <c r="AA43" s="8" t="s">
        <v>56</v>
      </c>
      <c r="AB43" s="9" t="n">
        <v>85</v>
      </c>
      <c r="AC43" s="8" t="s">
        <v>417</v>
      </c>
    </row>
    <row r="44" customFormat="false" ht="24.75" hidden="false" customHeight="true" outlineLevel="0" collapsed="false">
      <c r="A44" s="12" t="s">
        <v>418</v>
      </c>
      <c r="B44" s="8" t="s">
        <v>188</v>
      </c>
      <c r="C44" s="8" t="s">
        <v>380</v>
      </c>
      <c r="D44" s="8" t="s">
        <v>381</v>
      </c>
      <c r="E44" s="8" t="s">
        <v>419</v>
      </c>
      <c r="F44" s="8" t="s">
        <v>420</v>
      </c>
      <c r="G44" s="8" t="s">
        <v>370</v>
      </c>
      <c r="H44" s="8" t="str">
        <f aca="false">IF(COUNTIF(M44:R44,"M")&gt;0,"Must Have",IF(COUNTIF(M44:R44,"S")&gt;0,"Should Have",IF(COUNTIF(M44:R44,"C")&gt;0,"Could Have",IF(COUNTA(M44:R44)&gt;0,"Stated – no priority","Aurigo-only (no RFP source)"))))</f>
        <v>Must Have</v>
      </c>
      <c r="I44" s="12" t="n">
        <f aca="false">COUNTA(M44:R44)</f>
        <v>1</v>
      </c>
      <c r="J44" s="12" t="n">
        <f aca="false">COUNTIF(M44:R44,"M")</f>
        <v>1</v>
      </c>
      <c r="K44" s="8" t="str">
        <f aca="false">IF(I44=0,"Aurigo-only",IF(I44=1,"Single source",IF(I44=2,"Two sources",IF(I44&lt;=4,"Common (3-4)","Broad (5+)"))))</f>
        <v>Single source</v>
      </c>
      <c r="L44" s="8" t="str">
        <f aca="false">IF(J44&gt;=3,"Tier 1: Must in 3+ sources",IF(J44=2,"Tier 2: Must in 2 sources",IF(J44=1,"Tier 3: Must in 1 source",IF(COUNTIF(M44:R44,"S")&gt;0,"Tier 4: Should only",IF(COUNTIF(M44:R44,"C")&gt;0,"Tier 5: Could only",IF(I44&gt;0,"Tier 6: stated, no priority","Aurigo-only"))))))</f>
        <v>Tier 3: Must in 1 source</v>
      </c>
      <c r="M44" s="12" t="s">
        <v>194</v>
      </c>
      <c r="N44" s="12"/>
      <c r="O44" s="12"/>
      <c r="P44" s="12"/>
      <c r="Q44" s="12"/>
      <c r="R44" s="12"/>
      <c r="S44" s="8" t="s">
        <v>421</v>
      </c>
      <c r="T44" s="8"/>
      <c r="U44" s="8"/>
      <c r="V44" s="8" t="s">
        <v>204</v>
      </c>
      <c r="W44" s="8" t="s">
        <v>205</v>
      </c>
      <c r="X44" s="8"/>
      <c r="Y44" s="8"/>
      <c r="Z44" s="7" t="s">
        <v>55</v>
      </c>
      <c r="AA44" s="8" t="s">
        <v>56</v>
      </c>
      <c r="AB44" s="9" t="n">
        <v>86</v>
      </c>
      <c r="AC44" s="8" t="s">
        <v>386</v>
      </c>
    </row>
    <row r="45" customFormat="false" ht="62.25" hidden="false" customHeight="true" outlineLevel="0" collapsed="false">
      <c r="A45" s="12" t="s">
        <v>422</v>
      </c>
      <c r="B45" s="8" t="s">
        <v>188</v>
      </c>
      <c r="C45" s="8" t="s">
        <v>423</v>
      </c>
      <c r="D45" s="8" t="s">
        <v>424</v>
      </c>
      <c r="E45" s="8" t="s">
        <v>425</v>
      </c>
      <c r="F45" s="8" t="s">
        <v>426</v>
      </c>
      <c r="G45" s="8" t="s">
        <v>193</v>
      </c>
      <c r="H45" s="8" t="str">
        <f aca="false">IF(COUNTIF(M45:R45,"M")&gt;0,"Must Have",IF(COUNTIF(M45:R45,"S")&gt;0,"Should Have",IF(COUNTIF(M45:R45,"C")&gt;0,"Could Have",IF(COUNTA(M45:R45)&gt;0,"Stated – no priority","Aurigo-only (no RFP source)"))))</f>
        <v>Must Have</v>
      </c>
      <c r="I45" s="12" t="n">
        <f aca="false">COUNTA(M45:R45)</f>
        <v>3</v>
      </c>
      <c r="J45" s="12" t="n">
        <f aca="false">COUNTIF(M45:R45,"M")</f>
        <v>2</v>
      </c>
      <c r="K45" s="8" t="str">
        <f aca="false">IF(I45=0,"Aurigo-only",IF(I45=1,"Single source",IF(I45=2,"Two sources",IF(I45&lt;=4,"Common (3-4)","Broad (5+)"))))</f>
        <v>Common (3-4)</v>
      </c>
      <c r="L45" s="8" t="str">
        <f aca="false">IF(J45&gt;=3,"Tier 1: Must in 3+ sources",IF(J45=2,"Tier 2: Must in 2 sources",IF(J45=1,"Tier 3: Must in 1 source",IF(COUNTIF(M45:R45,"S")&gt;0,"Tier 4: Should only",IF(COUNTIF(M45:R45,"C")&gt;0,"Tier 5: Could only",IF(I45&gt;0,"Tier 6: stated, no priority","Aurigo-only"))))))</f>
        <v>Tier 2: Must in 2 sources</v>
      </c>
      <c r="M45" s="12" t="s">
        <v>194</v>
      </c>
      <c r="N45" s="12" t="s">
        <v>194</v>
      </c>
      <c r="O45" s="12"/>
      <c r="P45" s="12" t="s">
        <v>195</v>
      </c>
      <c r="Q45" s="12"/>
      <c r="R45" s="12"/>
      <c r="S45" s="8" t="s">
        <v>427</v>
      </c>
      <c r="T45" s="8"/>
      <c r="U45" s="8"/>
      <c r="V45" s="8" t="s">
        <v>197</v>
      </c>
      <c r="W45" s="8" t="s">
        <v>428</v>
      </c>
      <c r="X45" s="8"/>
      <c r="Y45" s="8"/>
      <c r="Z45" s="7" t="s">
        <v>58</v>
      </c>
      <c r="AA45" s="8" t="s">
        <v>59</v>
      </c>
      <c r="AB45" s="9" t="n">
        <v>91</v>
      </c>
      <c r="AC45" s="8" t="s">
        <v>429</v>
      </c>
    </row>
    <row r="46" customFormat="false" ht="49.5" hidden="false" customHeight="true" outlineLevel="0" collapsed="false">
      <c r="A46" s="12" t="s">
        <v>430</v>
      </c>
      <c r="B46" s="8" t="s">
        <v>188</v>
      </c>
      <c r="C46" s="8" t="s">
        <v>423</v>
      </c>
      <c r="D46" s="8" t="s">
        <v>431</v>
      </c>
      <c r="E46" s="8" t="s">
        <v>432</v>
      </c>
      <c r="F46" s="8" t="s">
        <v>433</v>
      </c>
      <c r="G46" s="8" t="s">
        <v>193</v>
      </c>
      <c r="H46" s="8" t="str">
        <f aca="false">IF(COUNTIF(M46:R46,"M")&gt;0,"Must Have",IF(COUNTIF(M46:R46,"S")&gt;0,"Should Have",IF(COUNTIF(M46:R46,"C")&gt;0,"Could Have",IF(COUNTA(M46:R46)&gt;0,"Stated – no priority","Aurigo-only (no RFP source)"))))</f>
        <v>Must Have</v>
      </c>
      <c r="I46" s="12" t="n">
        <f aca="false">COUNTA(M46:R46)</f>
        <v>2</v>
      </c>
      <c r="J46" s="12" t="n">
        <f aca="false">COUNTIF(M46:R46,"M")</f>
        <v>2</v>
      </c>
      <c r="K46" s="8" t="str">
        <f aca="false">IF(I46=0,"Aurigo-only",IF(I46=1,"Single source",IF(I46=2,"Two sources",IF(I46&lt;=4,"Common (3-4)","Broad (5+)"))))</f>
        <v>Two sources</v>
      </c>
      <c r="L46" s="8" t="str">
        <f aca="false">IF(J46&gt;=3,"Tier 1: Must in 3+ sources",IF(J46=2,"Tier 2: Must in 2 sources",IF(J46=1,"Tier 3: Must in 1 source",IF(COUNTIF(M46:R46,"S")&gt;0,"Tier 4: Should only",IF(COUNTIF(M46:R46,"C")&gt;0,"Tier 5: Could only",IF(I46&gt;0,"Tier 6: stated, no priority","Aurigo-only"))))))</f>
        <v>Tier 2: Must in 2 sources</v>
      </c>
      <c r="M46" s="12" t="s">
        <v>194</v>
      </c>
      <c r="N46" s="12" t="s">
        <v>194</v>
      </c>
      <c r="O46" s="12"/>
      <c r="P46" s="12"/>
      <c r="Q46" s="12"/>
      <c r="R46" s="12"/>
      <c r="S46" s="8" t="s">
        <v>434</v>
      </c>
      <c r="T46" s="8"/>
      <c r="U46" s="8"/>
      <c r="V46" s="8" t="s">
        <v>197</v>
      </c>
      <c r="W46" s="8" t="s">
        <v>435</v>
      </c>
      <c r="X46" s="8"/>
      <c r="Y46" s="8"/>
      <c r="Z46" s="7" t="s">
        <v>58</v>
      </c>
      <c r="AA46" s="8" t="s">
        <v>59</v>
      </c>
      <c r="AB46" s="9" t="n">
        <v>92</v>
      </c>
      <c r="AC46" s="8" t="s">
        <v>422</v>
      </c>
    </row>
    <row r="47" customFormat="false" ht="62.25" hidden="false" customHeight="true" outlineLevel="0" collapsed="false">
      <c r="A47" s="12" t="s">
        <v>436</v>
      </c>
      <c r="B47" s="8" t="s">
        <v>188</v>
      </c>
      <c r="C47" s="8" t="s">
        <v>423</v>
      </c>
      <c r="D47" s="8" t="s">
        <v>437</v>
      </c>
      <c r="E47" s="8" t="s">
        <v>438</v>
      </c>
      <c r="F47" s="8" t="s">
        <v>439</v>
      </c>
      <c r="G47" s="8" t="s">
        <v>193</v>
      </c>
      <c r="H47" s="8" t="str">
        <f aca="false">IF(COUNTIF(M47:R47,"M")&gt;0,"Must Have",IF(COUNTIF(M47:R47,"S")&gt;0,"Should Have",IF(COUNTIF(M47:R47,"C")&gt;0,"Could Have",IF(COUNTA(M47:R47)&gt;0,"Stated – no priority","Aurigo-only (no RFP source)"))))</f>
        <v>Must Have</v>
      </c>
      <c r="I47" s="12" t="n">
        <f aca="false">COUNTA(M47:R47)</f>
        <v>3</v>
      </c>
      <c r="J47" s="12" t="n">
        <f aca="false">COUNTIF(M47:R47,"M")</f>
        <v>2</v>
      </c>
      <c r="K47" s="8" t="str">
        <f aca="false">IF(I47=0,"Aurigo-only",IF(I47=1,"Single source",IF(I47=2,"Two sources",IF(I47&lt;=4,"Common (3-4)","Broad (5+)"))))</f>
        <v>Common (3-4)</v>
      </c>
      <c r="L47" s="8" t="str">
        <f aca="false">IF(J47&gt;=3,"Tier 1: Must in 3+ sources",IF(J47=2,"Tier 2: Must in 2 sources",IF(J47=1,"Tier 3: Must in 1 source",IF(COUNTIF(M47:R47,"S")&gt;0,"Tier 4: Should only",IF(COUNTIF(M47:R47,"C")&gt;0,"Tier 5: Could only",IF(I47&gt;0,"Tier 6: stated, no priority","Aurigo-only"))))))</f>
        <v>Tier 2: Must in 2 sources</v>
      </c>
      <c r="M47" s="12" t="s">
        <v>194</v>
      </c>
      <c r="N47" s="12" t="s">
        <v>194</v>
      </c>
      <c r="O47" s="12"/>
      <c r="P47" s="12" t="s">
        <v>195</v>
      </c>
      <c r="Q47" s="12"/>
      <c r="R47" s="12"/>
      <c r="S47" s="8" t="s">
        <v>440</v>
      </c>
      <c r="T47" s="8"/>
      <c r="U47" s="8"/>
      <c r="V47" s="8" t="s">
        <v>197</v>
      </c>
      <c r="W47" s="8" t="s">
        <v>441</v>
      </c>
      <c r="X47" s="8"/>
      <c r="Y47" s="8"/>
      <c r="Z47" s="7" t="s">
        <v>58</v>
      </c>
      <c r="AA47" s="8" t="s">
        <v>59</v>
      </c>
      <c r="AB47" s="9" t="n">
        <v>96</v>
      </c>
      <c r="AC47" s="8" t="s">
        <v>430</v>
      </c>
    </row>
    <row r="48" customFormat="false" ht="62.25" hidden="false" customHeight="true" outlineLevel="0" collapsed="false">
      <c r="A48" s="12" t="s">
        <v>442</v>
      </c>
      <c r="B48" s="8" t="s">
        <v>188</v>
      </c>
      <c r="C48" s="8" t="s">
        <v>423</v>
      </c>
      <c r="D48" s="8" t="s">
        <v>431</v>
      </c>
      <c r="E48" s="8" t="s">
        <v>443</v>
      </c>
      <c r="F48" s="8" t="s">
        <v>444</v>
      </c>
      <c r="G48" s="8" t="s">
        <v>193</v>
      </c>
      <c r="H48" s="8" t="str">
        <f aca="false">IF(COUNTIF(M48:R48,"M")&gt;0,"Must Have",IF(COUNTIF(M48:R48,"S")&gt;0,"Should Have",IF(COUNTIF(M48:R48,"C")&gt;0,"Could Have",IF(COUNTA(M48:R48)&gt;0,"Stated – no priority","Aurigo-only (no RFP source)"))))</f>
        <v>Must Have</v>
      </c>
      <c r="I48" s="12" t="n">
        <f aca="false">COUNTA(M48:R48)</f>
        <v>3</v>
      </c>
      <c r="J48" s="12" t="n">
        <f aca="false">COUNTIF(M48:R48,"M")</f>
        <v>2</v>
      </c>
      <c r="K48" s="8" t="str">
        <f aca="false">IF(I48=0,"Aurigo-only",IF(I48=1,"Single source",IF(I48=2,"Two sources",IF(I48&lt;=4,"Common (3-4)","Broad (5+)"))))</f>
        <v>Common (3-4)</v>
      </c>
      <c r="L48" s="8" t="str">
        <f aca="false">IF(J48&gt;=3,"Tier 1: Must in 3+ sources",IF(J48=2,"Tier 2: Must in 2 sources",IF(J48=1,"Tier 3: Must in 1 source",IF(COUNTIF(M48:R48,"S")&gt;0,"Tier 4: Should only",IF(COUNTIF(M48:R48,"C")&gt;0,"Tier 5: Could only",IF(I48&gt;0,"Tier 6: stated, no priority","Aurigo-only"))))))</f>
        <v>Tier 2: Must in 2 sources</v>
      </c>
      <c r="M48" s="12" t="s">
        <v>194</v>
      </c>
      <c r="N48" s="12" t="s">
        <v>194</v>
      </c>
      <c r="O48" s="12"/>
      <c r="P48" s="12" t="s">
        <v>195</v>
      </c>
      <c r="Q48" s="12"/>
      <c r="R48" s="12"/>
      <c r="S48" s="8" t="s">
        <v>445</v>
      </c>
      <c r="T48" s="8"/>
      <c r="U48" s="8"/>
      <c r="V48" s="8" t="s">
        <v>204</v>
      </c>
      <c r="W48" s="8" t="s">
        <v>205</v>
      </c>
      <c r="X48" s="8"/>
      <c r="Y48" s="8"/>
      <c r="Z48" s="7" t="s">
        <v>58</v>
      </c>
      <c r="AA48" s="8" t="s">
        <v>59</v>
      </c>
      <c r="AB48" s="9" t="n">
        <v>97</v>
      </c>
      <c r="AC48" s="8" t="s">
        <v>430</v>
      </c>
    </row>
    <row r="49" customFormat="false" ht="49.5" hidden="false" customHeight="true" outlineLevel="0" collapsed="false">
      <c r="A49" s="12" t="s">
        <v>446</v>
      </c>
      <c r="B49" s="8" t="s">
        <v>188</v>
      </c>
      <c r="C49" s="8" t="s">
        <v>423</v>
      </c>
      <c r="D49" s="8" t="s">
        <v>437</v>
      </c>
      <c r="E49" s="8" t="s">
        <v>447</v>
      </c>
      <c r="F49" s="8" t="s">
        <v>448</v>
      </c>
      <c r="G49" s="8" t="s">
        <v>193</v>
      </c>
      <c r="H49" s="8" t="str">
        <f aca="false">IF(COUNTIF(M49:R49,"M")&gt;0,"Must Have",IF(COUNTIF(M49:R49,"S")&gt;0,"Should Have",IF(COUNTIF(M49:R49,"C")&gt;0,"Could Have",IF(COUNTA(M49:R49)&gt;0,"Stated – no priority","Aurigo-only (no RFP source)"))))</f>
        <v>Must Have</v>
      </c>
      <c r="I49" s="12" t="n">
        <f aca="false">COUNTA(M49:R49)</f>
        <v>2</v>
      </c>
      <c r="J49" s="12" t="n">
        <f aca="false">COUNTIF(M49:R49,"M")</f>
        <v>2</v>
      </c>
      <c r="K49" s="8" t="str">
        <f aca="false">IF(I49=0,"Aurigo-only",IF(I49=1,"Single source",IF(I49=2,"Two sources",IF(I49&lt;=4,"Common (3-4)","Broad (5+)"))))</f>
        <v>Two sources</v>
      </c>
      <c r="L49" s="8" t="str">
        <f aca="false">IF(J49&gt;=3,"Tier 1: Must in 3+ sources",IF(J49=2,"Tier 2: Must in 2 sources",IF(J49=1,"Tier 3: Must in 1 source",IF(COUNTIF(M49:R49,"S")&gt;0,"Tier 4: Should only",IF(COUNTIF(M49:R49,"C")&gt;0,"Tier 5: Could only",IF(I49&gt;0,"Tier 6: stated, no priority","Aurigo-only"))))))</f>
        <v>Tier 2: Must in 2 sources</v>
      </c>
      <c r="M49" s="12" t="s">
        <v>194</v>
      </c>
      <c r="N49" s="12" t="s">
        <v>194</v>
      </c>
      <c r="O49" s="12"/>
      <c r="P49" s="12"/>
      <c r="Q49" s="12"/>
      <c r="R49" s="12"/>
      <c r="S49" s="8" t="s">
        <v>449</v>
      </c>
      <c r="T49" s="8"/>
      <c r="U49" s="8"/>
      <c r="V49" s="8" t="s">
        <v>197</v>
      </c>
      <c r="W49" s="8" t="s">
        <v>450</v>
      </c>
      <c r="X49" s="8"/>
      <c r="Y49" s="8"/>
      <c r="Z49" s="7" t="s">
        <v>58</v>
      </c>
      <c r="AA49" s="8" t="s">
        <v>59</v>
      </c>
      <c r="AB49" s="9" t="n">
        <v>104</v>
      </c>
      <c r="AC49" s="8" t="s">
        <v>451</v>
      </c>
    </row>
    <row r="50" customFormat="false" ht="49.5" hidden="false" customHeight="true" outlineLevel="0" collapsed="false">
      <c r="A50" s="12" t="s">
        <v>452</v>
      </c>
      <c r="B50" s="8" t="s">
        <v>188</v>
      </c>
      <c r="C50" s="8" t="s">
        <v>423</v>
      </c>
      <c r="D50" s="8" t="s">
        <v>431</v>
      </c>
      <c r="E50" s="8" t="s">
        <v>453</v>
      </c>
      <c r="F50" s="8" t="s">
        <v>454</v>
      </c>
      <c r="G50" s="8" t="s">
        <v>193</v>
      </c>
      <c r="H50" s="8" t="str">
        <f aca="false">IF(COUNTIF(M50:R50,"M")&gt;0,"Must Have",IF(COUNTIF(M50:R50,"S")&gt;0,"Should Have",IF(COUNTIF(M50:R50,"C")&gt;0,"Could Have",IF(COUNTA(M50:R50)&gt;0,"Stated – no priority","Aurigo-only (no RFP source)"))))</f>
        <v>Must Have</v>
      </c>
      <c r="I50" s="12" t="n">
        <f aca="false">COUNTA(M50:R50)</f>
        <v>2</v>
      </c>
      <c r="J50" s="12" t="n">
        <f aca="false">COUNTIF(M50:R50,"M")</f>
        <v>2</v>
      </c>
      <c r="K50" s="8" t="str">
        <f aca="false">IF(I50=0,"Aurigo-only",IF(I50=1,"Single source",IF(I50=2,"Two sources",IF(I50&lt;=4,"Common (3-4)","Broad (5+)"))))</f>
        <v>Two sources</v>
      </c>
      <c r="L50" s="8" t="str">
        <f aca="false">IF(J50&gt;=3,"Tier 1: Must in 3+ sources",IF(J50=2,"Tier 2: Must in 2 sources",IF(J50=1,"Tier 3: Must in 1 source",IF(COUNTIF(M50:R50,"S")&gt;0,"Tier 4: Should only",IF(COUNTIF(M50:R50,"C")&gt;0,"Tier 5: Could only",IF(I50&gt;0,"Tier 6: stated, no priority","Aurigo-only"))))))</f>
        <v>Tier 2: Must in 2 sources</v>
      </c>
      <c r="M50" s="12" t="s">
        <v>194</v>
      </c>
      <c r="N50" s="12" t="s">
        <v>194</v>
      </c>
      <c r="O50" s="12"/>
      <c r="P50" s="12"/>
      <c r="Q50" s="12"/>
      <c r="R50" s="12"/>
      <c r="S50" s="8" t="s">
        <v>455</v>
      </c>
      <c r="T50" s="8"/>
      <c r="U50" s="8"/>
      <c r="V50" s="8" t="s">
        <v>204</v>
      </c>
      <c r="W50" s="8" t="s">
        <v>205</v>
      </c>
      <c r="X50" s="8"/>
      <c r="Y50" s="8"/>
      <c r="Z50" s="7" t="s">
        <v>58</v>
      </c>
      <c r="AA50" s="8" t="s">
        <v>59</v>
      </c>
      <c r="AB50" s="9" t="n">
        <v>98</v>
      </c>
      <c r="AC50" s="8" t="s">
        <v>456</v>
      </c>
    </row>
    <row r="51" customFormat="false" ht="24.75" hidden="false" customHeight="true" outlineLevel="0" collapsed="false">
      <c r="A51" s="12" t="s">
        <v>457</v>
      </c>
      <c r="B51" s="8" t="s">
        <v>188</v>
      </c>
      <c r="C51" s="8" t="s">
        <v>423</v>
      </c>
      <c r="D51" s="8" t="s">
        <v>431</v>
      </c>
      <c r="E51" s="8" t="s">
        <v>458</v>
      </c>
      <c r="F51" s="8" t="s">
        <v>459</v>
      </c>
      <c r="G51" s="8" t="s">
        <v>193</v>
      </c>
      <c r="H51" s="8" t="str">
        <f aca="false">IF(COUNTIF(M51:R51,"M")&gt;0,"Must Have",IF(COUNTIF(M51:R51,"S")&gt;0,"Should Have",IF(COUNTIF(M51:R51,"C")&gt;0,"Could Have",IF(COUNTA(M51:R51)&gt;0,"Stated – no priority","Aurigo-only (no RFP source)"))))</f>
        <v>Must Have</v>
      </c>
      <c r="I51" s="12" t="n">
        <f aca="false">COUNTA(M51:R51)</f>
        <v>1</v>
      </c>
      <c r="J51" s="12" t="n">
        <f aca="false">COUNTIF(M51:R51,"M")</f>
        <v>1</v>
      </c>
      <c r="K51" s="8" t="str">
        <f aca="false">IF(I51=0,"Aurigo-only",IF(I51=1,"Single source",IF(I51=2,"Two sources",IF(I51&lt;=4,"Common (3-4)","Broad (5+)"))))</f>
        <v>Single source</v>
      </c>
      <c r="L51" s="8" t="str">
        <f aca="false">IF(J51&gt;=3,"Tier 1: Must in 3+ sources",IF(J51=2,"Tier 2: Must in 2 sources",IF(J51=1,"Tier 3: Must in 1 source",IF(COUNTIF(M51:R51,"S")&gt;0,"Tier 4: Should only",IF(COUNTIF(M51:R51,"C")&gt;0,"Tier 5: Could only",IF(I51&gt;0,"Tier 6: stated, no priority","Aurigo-only"))))))</f>
        <v>Tier 3: Must in 1 source</v>
      </c>
      <c r="M51" s="12" t="s">
        <v>194</v>
      </c>
      <c r="N51" s="12"/>
      <c r="O51" s="12"/>
      <c r="P51" s="12"/>
      <c r="Q51" s="12"/>
      <c r="R51" s="12"/>
      <c r="S51" s="8" t="s">
        <v>460</v>
      </c>
      <c r="T51" s="8"/>
      <c r="U51" s="8"/>
      <c r="V51" s="8" t="s">
        <v>197</v>
      </c>
      <c r="W51" s="8" t="s">
        <v>461</v>
      </c>
      <c r="X51" s="8"/>
      <c r="Y51" s="8"/>
      <c r="Z51" s="7" t="s">
        <v>58</v>
      </c>
      <c r="AA51" s="8" t="s">
        <v>59</v>
      </c>
      <c r="AB51" s="9" t="n">
        <v>99</v>
      </c>
      <c r="AC51" s="8" t="s">
        <v>430</v>
      </c>
    </row>
    <row r="52" customFormat="false" ht="24.75" hidden="false" customHeight="true" outlineLevel="0" collapsed="false">
      <c r="A52" s="12" t="s">
        <v>462</v>
      </c>
      <c r="B52" s="8" t="s">
        <v>188</v>
      </c>
      <c r="C52" s="8" t="s">
        <v>423</v>
      </c>
      <c r="D52" s="8" t="s">
        <v>431</v>
      </c>
      <c r="E52" s="8" t="s">
        <v>463</v>
      </c>
      <c r="F52" s="8" t="s">
        <v>464</v>
      </c>
      <c r="G52" s="8" t="s">
        <v>193</v>
      </c>
      <c r="H52" s="8" t="str">
        <f aca="false">IF(COUNTIF(M52:R52,"M")&gt;0,"Must Have",IF(COUNTIF(M52:R52,"S")&gt;0,"Should Have",IF(COUNTIF(M52:R52,"C")&gt;0,"Could Have",IF(COUNTA(M52:R52)&gt;0,"Stated – no priority","Aurigo-only (no RFP source)"))))</f>
        <v>Must Have</v>
      </c>
      <c r="I52" s="12" t="n">
        <f aca="false">COUNTA(M52:R52)</f>
        <v>1</v>
      </c>
      <c r="J52" s="12" t="n">
        <f aca="false">COUNTIF(M52:R52,"M")</f>
        <v>1</v>
      </c>
      <c r="K52" s="8" t="str">
        <f aca="false">IF(I52=0,"Aurigo-only",IF(I52=1,"Single source",IF(I52=2,"Two sources",IF(I52&lt;=4,"Common (3-4)","Broad (5+)"))))</f>
        <v>Single source</v>
      </c>
      <c r="L52" s="8" t="str">
        <f aca="false">IF(J52&gt;=3,"Tier 1: Must in 3+ sources",IF(J52=2,"Tier 2: Must in 2 sources",IF(J52=1,"Tier 3: Must in 1 source",IF(COUNTIF(M52:R52,"S")&gt;0,"Tier 4: Should only",IF(COUNTIF(M52:R52,"C")&gt;0,"Tier 5: Could only",IF(I52&gt;0,"Tier 6: stated, no priority","Aurigo-only"))))))</f>
        <v>Tier 3: Must in 1 source</v>
      </c>
      <c r="M52" s="12"/>
      <c r="N52" s="12" t="s">
        <v>194</v>
      </c>
      <c r="O52" s="12"/>
      <c r="P52" s="12"/>
      <c r="Q52" s="12"/>
      <c r="R52" s="12"/>
      <c r="S52" s="8" t="s">
        <v>465</v>
      </c>
      <c r="T52" s="8"/>
      <c r="U52" s="8"/>
      <c r="V52" s="8" t="s">
        <v>204</v>
      </c>
      <c r="W52" s="8" t="s">
        <v>205</v>
      </c>
      <c r="X52" s="8"/>
      <c r="Y52" s="8"/>
      <c r="Z52" s="7" t="s">
        <v>58</v>
      </c>
      <c r="AA52" s="8" t="s">
        <v>59</v>
      </c>
      <c r="AB52" s="9" t="n">
        <v>100</v>
      </c>
      <c r="AC52" s="8" t="s">
        <v>430</v>
      </c>
    </row>
    <row r="53" customFormat="false" ht="37.5" hidden="false" customHeight="true" outlineLevel="0" collapsed="false">
      <c r="A53" s="12" t="s">
        <v>466</v>
      </c>
      <c r="B53" s="8" t="s">
        <v>188</v>
      </c>
      <c r="C53" s="8" t="s">
        <v>423</v>
      </c>
      <c r="D53" s="8" t="s">
        <v>431</v>
      </c>
      <c r="E53" s="8" t="s">
        <v>467</v>
      </c>
      <c r="F53" s="8" t="s">
        <v>468</v>
      </c>
      <c r="G53" s="8" t="s">
        <v>370</v>
      </c>
      <c r="H53" s="8" t="str">
        <f aca="false">IF(COUNTIF(M53:R53,"M")&gt;0,"Must Have",IF(COUNTIF(M53:R53,"S")&gt;0,"Should Have",IF(COUNTIF(M53:R53,"C")&gt;0,"Could Have",IF(COUNTA(M53:R53)&gt;0,"Stated – no priority","Aurigo-only (no RFP source)"))))</f>
        <v>Must Have</v>
      </c>
      <c r="I53" s="12" t="n">
        <f aca="false">COUNTA(M53:R53)</f>
        <v>1</v>
      </c>
      <c r="J53" s="12" t="n">
        <f aca="false">COUNTIF(M53:R53,"M")</f>
        <v>1</v>
      </c>
      <c r="K53" s="8" t="str">
        <f aca="false">IF(I53=0,"Aurigo-only",IF(I53=1,"Single source",IF(I53=2,"Two sources",IF(I53&lt;=4,"Common (3-4)","Broad (5+)"))))</f>
        <v>Single source</v>
      </c>
      <c r="L53" s="8" t="str">
        <f aca="false">IF(J53&gt;=3,"Tier 1: Must in 3+ sources",IF(J53=2,"Tier 2: Must in 2 sources",IF(J53=1,"Tier 3: Must in 1 source",IF(COUNTIF(M53:R53,"S")&gt;0,"Tier 4: Should only",IF(COUNTIF(M53:R53,"C")&gt;0,"Tier 5: Could only",IF(I53&gt;0,"Tier 6: stated, no priority","Aurigo-only"))))))</f>
        <v>Tier 3: Must in 1 source</v>
      </c>
      <c r="M53" s="12"/>
      <c r="N53" s="12" t="s">
        <v>194</v>
      </c>
      <c r="O53" s="12"/>
      <c r="P53" s="12"/>
      <c r="Q53" s="12"/>
      <c r="R53" s="12"/>
      <c r="S53" s="8" t="s">
        <v>469</v>
      </c>
      <c r="T53" s="8"/>
      <c r="U53" s="8"/>
      <c r="V53" s="8" t="s">
        <v>204</v>
      </c>
      <c r="W53" s="8" t="s">
        <v>205</v>
      </c>
      <c r="X53" s="8"/>
      <c r="Y53" s="8"/>
      <c r="Z53" s="7" t="s">
        <v>58</v>
      </c>
      <c r="AA53" s="8" t="s">
        <v>59</v>
      </c>
      <c r="AB53" s="9" t="n">
        <v>101</v>
      </c>
      <c r="AC53" s="8" t="s">
        <v>430</v>
      </c>
    </row>
    <row r="54" customFormat="false" ht="24.75" hidden="false" customHeight="true" outlineLevel="0" collapsed="false">
      <c r="A54" s="12" t="s">
        <v>470</v>
      </c>
      <c r="B54" s="8" t="s">
        <v>188</v>
      </c>
      <c r="C54" s="8" t="s">
        <v>423</v>
      </c>
      <c r="D54" s="8" t="s">
        <v>431</v>
      </c>
      <c r="E54" s="8" t="s">
        <v>471</v>
      </c>
      <c r="F54" s="8" t="s">
        <v>472</v>
      </c>
      <c r="G54" s="8" t="s">
        <v>193</v>
      </c>
      <c r="H54" s="8" t="str">
        <f aca="false">IF(COUNTIF(M54:R54,"M")&gt;0,"Must Have",IF(COUNTIF(M54:R54,"S")&gt;0,"Should Have",IF(COUNTIF(M54:R54,"C")&gt;0,"Could Have",IF(COUNTA(M54:R54)&gt;0,"Stated – no priority","Aurigo-only (no RFP source)"))))</f>
        <v>Must Have</v>
      </c>
      <c r="I54" s="12" t="n">
        <f aca="false">COUNTA(M54:R54)</f>
        <v>1</v>
      </c>
      <c r="J54" s="12" t="n">
        <f aca="false">COUNTIF(M54:R54,"M")</f>
        <v>1</v>
      </c>
      <c r="K54" s="8" t="str">
        <f aca="false">IF(I54=0,"Aurigo-only",IF(I54=1,"Single source",IF(I54=2,"Two sources",IF(I54&lt;=4,"Common (3-4)","Broad (5+)"))))</f>
        <v>Single source</v>
      </c>
      <c r="L54" s="8" t="str">
        <f aca="false">IF(J54&gt;=3,"Tier 1: Must in 3+ sources",IF(J54=2,"Tier 2: Must in 2 sources",IF(J54=1,"Tier 3: Must in 1 source",IF(COUNTIF(M54:R54,"S")&gt;0,"Tier 4: Should only",IF(COUNTIF(M54:R54,"C")&gt;0,"Tier 5: Could only",IF(I54&gt;0,"Tier 6: stated, no priority","Aurigo-only"))))))</f>
        <v>Tier 3: Must in 1 source</v>
      </c>
      <c r="M54" s="12" t="s">
        <v>194</v>
      </c>
      <c r="N54" s="12"/>
      <c r="O54" s="12"/>
      <c r="P54" s="12"/>
      <c r="Q54" s="12"/>
      <c r="R54" s="12"/>
      <c r="S54" s="8" t="s">
        <v>473</v>
      </c>
      <c r="T54" s="8"/>
      <c r="U54" s="8"/>
      <c r="V54" s="8" t="s">
        <v>204</v>
      </c>
      <c r="W54" s="8" t="s">
        <v>205</v>
      </c>
      <c r="X54" s="8"/>
      <c r="Y54" s="8"/>
      <c r="Z54" s="7" t="s">
        <v>61</v>
      </c>
      <c r="AA54" s="8" t="s">
        <v>62</v>
      </c>
      <c r="AB54" s="9" t="n">
        <v>114</v>
      </c>
      <c r="AC54" s="8" t="s">
        <v>474</v>
      </c>
    </row>
    <row r="55" customFormat="false" ht="24.75" hidden="false" customHeight="true" outlineLevel="0" collapsed="false">
      <c r="A55" s="12" t="s">
        <v>475</v>
      </c>
      <c r="B55" s="8" t="s">
        <v>188</v>
      </c>
      <c r="C55" s="8" t="s">
        <v>423</v>
      </c>
      <c r="D55" s="8" t="s">
        <v>437</v>
      </c>
      <c r="E55" s="8" t="s">
        <v>476</v>
      </c>
      <c r="F55" s="8" t="s">
        <v>477</v>
      </c>
      <c r="G55" s="8" t="s">
        <v>193</v>
      </c>
      <c r="H55" s="8" t="str">
        <f aca="false">IF(COUNTIF(M55:R55,"M")&gt;0,"Must Have",IF(COUNTIF(M55:R55,"S")&gt;0,"Should Have",IF(COUNTIF(M55:R55,"C")&gt;0,"Could Have",IF(COUNTA(M55:R55)&gt;0,"Stated – no priority","Aurigo-only (no RFP source)"))))</f>
        <v>Should Have</v>
      </c>
      <c r="I55" s="12" t="n">
        <f aca="false">COUNTA(M55:R55)</f>
        <v>1</v>
      </c>
      <c r="J55" s="12" t="n">
        <f aca="false">COUNTIF(M55:R55,"M")</f>
        <v>0</v>
      </c>
      <c r="K55" s="8" t="str">
        <f aca="false">IF(I55=0,"Aurigo-only",IF(I55=1,"Single source",IF(I55=2,"Two sources",IF(I55&lt;=4,"Common (3-4)","Broad (5+)"))))</f>
        <v>Single source</v>
      </c>
      <c r="L55" s="8" t="str">
        <f aca="false">IF(J55&gt;=3,"Tier 1: Must in 3+ sources",IF(J55=2,"Tier 2: Must in 2 sources",IF(J55=1,"Tier 3: Must in 1 source",IF(COUNTIF(M55:R55,"S")&gt;0,"Tier 4: Should only",IF(COUNTIF(M55:R55,"C")&gt;0,"Tier 5: Could only",IF(I55&gt;0,"Tier 6: stated, no priority","Aurigo-only"))))))</f>
        <v>Tier 4: Should only</v>
      </c>
      <c r="M55" s="12" t="s">
        <v>232</v>
      </c>
      <c r="N55" s="12"/>
      <c r="O55" s="12"/>
      <c r="P55" s="12"/>
      <c r="Q55" s="12"/>
      <c r="R55" s="12"/>
      <c r="S55" s="8" t="s">
        <v>478</v>
      </c>
      <c r="T55" s="8"/>
      <c r="U55" s="8"/>
      <c r="V55" s="8" t="s">
        <v>204</v>
      </c>
      <c r="W55" s="8" t="s">
        <v>205</v>
      </c>
      <c r="X55" s="8"/>
      <c r="Y55" s="8"/>
      <c r="Z55" s="7" t="s">
        <v>61</v>
      </c>
      <c r="AA55" s="8" t="s">
        <v>62</v>
      </c>
      <c r="AB55" s="9" t="n">
        <v>117</v>
      </c>
      <c r="AC55" s="8" t="s">
        <v>479</v>
      </c>
    </row>
    <row r="56" customFormat="false" ht="37.5" hidden="false" customHeight="true" outlineLevel="0" collapsed="false">
      <c r="A56" s="12" t="s">
        <v>480</v>
      </c>
      <c r="B56" s="8" t="s">
        <v>188</v>
      </c>
      <c r="C56" s="8" t="s">
        <v>423</v>
      </c>
      <c r="D56" s="8" t="s">
        <v>481</v>
      </c>
      <c r="E56" s="8" t="s">
        <v>482</v>
      </c>
      <c r="F56" s="8" t="s">
        <v>483</v>
      </c>
      <c r="G56" s="8" t="s">
        <v>193</v>
      </c>
      <c r="H56" s="8" t="str">
        <f aca="false">IF(COUNTIF(M56:R56,"M")&gt;0,"Must Have",IF(COUNTIF(M56:R56,"S")&gt;0,"Should Have",IF(COUNTIF(M56:R56,"C")&gt;0,"Could Have",IF(COUNTA(M56:R56)&gt;0,"Stated – no priority","Aurigo-only (no RFP source)"))))</f>
        <v>Must Have</v>
      </c>
      <c r="I56" s="12" t="n">
        <f aca="false">COUNTA(M56:R56)</f>
        <v>1</v>
      </c>
      <c r="J56" s="12" t="n">
        <f aca="false">COUNTIF(M56:R56,"M")</f>
        <v>1</v>
      </c>
      <c r="K56" s="8" t="str">
        <f aca="false">IF(I56=0,"Aurigo-only",IF(I56=1,"Single source",IF(I56=2,"Two sources",IF(I56&lt;=4,"Common (3-4)","Broad (5+)"))))</f>
        <v>Single source</v>
      </c>
      <c r="L56" s="8" t="str">
        <f aca="false">IF(J56&gt;=3,"Tier 1: Must in 3+ sources",IF(J56=2,"Tier 2: Must in 2 sources",IF(J56=1,"Tier 3: Must in 1 source",IF(COUNTIF(M56:R56,"S")&gt;0,"Tier 4: Should only",IF(COUNTIF(M56:R56,"C")&gt;0,"Tier 5: Could only",IF(I56&gt;0,"Tier 6: stated, no priority","Aurigo-only"))))))</f>
        <v>Tier 3: Must in 1 source</v>
      </c>
      <c r="M56" s="12" t="s">
        <v>194</v>
      </c>
      <c r="N56" s="12"/>
      <c r="O56" s="12"/>
      <c r="P56" s="12"/>
      <c r="Q56" s="12"/>
      <c r="R56" s="12"/>
      <c r="S56" s="8" t="s">
        <v>484</v>
      </c>
      <c r="T56" s="8"/>
      <c r="U56" s="8"/>
      <c r="V56" s="8" t="s">
        <v>204</v>
      </c>
      <c r="W56" s="8" t="s">
        <v>205</v>
      </c>
      <c r="X56" s="8" t="s">
        <v>485</v>
      </c>
      <c r="Y56" s="8"/>
      <c r="Z56" s="7" t="s">
        <v>61</v>
      </c>
      <c r="AA56" s="8" t="s">
        <v>62</v>
      </c>
      <c r="AB56" s="9" t="n">
        <v>111</v>
      </c>
      <c r="AC56" s="8" t="s">
        <v>430</v>
      </c>
    </row>
    <row r="57" customFormat="false" ht="49.5" hidden="false" customHeight="true" outlineLevel="0" collapsed="false">
      <c r="A57" s="12" t="s">
        <v>486</v>
      </c>
      <c r="B57" s="8" t="s">
        <v>188</v>
      </c>
      <c r="C57" s="8" t="s">
        <v>423</v>
      </c>
      <c r="D57" s="8" t="s">
        <v>481</v>
      </c>
      <c r="E57" s="8" t="s">
        <v>487</v>
      </c>
      <c r="F57" s="8" t="s">
        <v>488</v>
      </c>
      <c r="G57" s="8" t="s">
        <v>193</v>
      </c>
      <c r="H57" s="8" t="str">
        <f aca="false">IF(COUNTIF(M57:R57,"M")&gt;0,"Must Have",IF(COUNTIF(M57:R57,"S")&gt;0,"Should Have",IF(COUNTIF(M57:R57,"C")&gt;0,"Could Have",IF(COUNTA(M57:R57)&gt;0,"Stated – no priority","Aurigo-only (no RFP source)"))))</f>
        <v>Stated – no priority</v>
      </c>
      <c r="I57" s="12" t="n">
        <f aca="false">COUNTA(M57:R57)</f>
        <v>2</v>
      </c>
      <c r="J57" s="12" t="n">
        <f aca="false">COUNTIF(M57:R57,"M")</f>
        <v>0</v>
      </c>
      <c r="K57" s="8" t="str">
        <f aca="false">IF(I57=0,"Aurigo-only",IF(I57=1,"Single source",IF(I57=2,"Two sources",IF(I57&lt;=4,"Common (3-4)","Broad (5+)"))))</f>
        <v>Two sources</v>
      </c>
      <c r="L57" s="8" t="str">
        <f aca="false">IF(J57&gt;=3,"Tier 1: Must in 3+ sources",IF(J57=2,"Tier 2: Must in 2 sources",IF(J57=1,"Tier 3: Must in 1 source",IF(COUNTIF(M57:R57,"S")&gt;0,"Tier 4: Should only",IF(COUNTIF(M57:R57,"C")&gt;0,"Tier 5: Could only",IF(I57&gt;0,"Tier 6: stated, no priority","Aurigo-only"))))))</f>
        <v>Tier 6: stated, no priority</v>
      </c>
      <c r="M57" s="12" t="s">
        <v>195</v>
      </c>
      <c r="N57" s="12"/>
      <c r="O57" s="12"/>
      <c r="P57" s="12" t="s">
        <v>195</v>
      </c>
      <c r="Q57" s="12"/>
      <c r="R57" s="12"/>
      <c r="S57" s="8" t="s">
        <v>489</v>
      </c>
      <c r="T57" s="8"/>
      <c r="U57" s="8"/>
      <c r="V57" s="8" t="s">
        <v>204</v>
      </c>
      <c r="W57" s="8" t="s">
        <v>205</v>
      </c>
      <c r="X57" s="8"/>
      <c r="Y57" s="8"/>
      <c r="Z57" s="7" t="s">
        <v>111</v>
      </c>
      <c r="AA57" s="8" t="s">
        <v>112</v>
      </c>
      <c r="AB57" s="9" t="n">
        <v>261</v>
      </c>
      <c r="AC57" s="8" t="s">
        <v>490</v>
      </c>
    </row>
    <row r="58" customFormat="false" ht="62.25" hidden="false" customHeight="true" outlineLevel="0" collapsed="false">
      <c r="A58" s="12" t="s">
        <v>491</v>
      </c>
      <c r="B58" s="8" t="s">
        <v>188</v>
      </c>
      <c r="C58" s="8" t="s">
        <v>423</v>
      </c>
      <c r="D58" s="8" t="s">
        <v>492</v>
      </c>
      <c r="E58" s="8" t="s">
        <v>493</v>
      </c>
      <c r="F58" s="8" t="s">
        <v>494</v>
      </c>
      <c r="G58" s="8" t="s">
        <v>193</v>
      </c>
      <c r="H58" s="8" t="str">
        <f aca="false">IF(COUNTIF(M58:R58,"M")&gt;0,"Must Have",IF(COUNTIF(M58:R58,"S")&gt;0,"Should Have",IF(COUNTIF(M58:R58,"C")&gt;0,"Could Have",IF(COUNTA(M58:R58)&gt;0,"Stated – no priority","Aurigo-only (no RFP source)"))))</f>
        <v>Must Have</v>
      </c>
      <c r="I58" s="12" t="n">
        <f aca="false">COUNTA(M58:R58)</f>
        <v>2</v>
      </c>
      <c r="J58" s="12" t="n">
        <f aca="false">COUNTIF(M58:R58,"M")</f>
        <v>2</v>
      </c>
      <c r="K58" s="8" t="str">
        <f aca="false">IF(I58=0,"Aurigo-only",IF(I58=1,"Single source",IF(I58=2,"Two sources",IF(I58&lt;=4,"Common (3-4)","Broad (5+)"))))</f>
        <v>Two sources</v>
      </c>
      <c r="L58" s="8" t="str">
        <f aca="false">IF(J58&gt;=3,"Tier 1: Must in 3+ sources",IF(J58=2,"Tier 2: Must in 2 sources",IF(J58=1,"Tier 3: Must in 1 source",IF(COUNTIF(M58:R58,"S")&gt;0,"Tier 4: Should only",IF(COUNTIF(M58:R58,"C")&gt;0,"Tier 5: Could only",IF(I58&gt;0,"Tier 6: stated, no priority","Aurigo-only"))))))</f>
        <v>Tier 2: Must in 2 sources</v>
      </c>
      <c r="M58" s="12" t="s">
        <v>194</v>
      </c>
      <c r="N58" s="12" t="s">
        <v>194</v>
      </c>
      <c r="O58" s="12"/>
      <c r="P58" s="12"/>
      <c r="Q58" s="12"/>
      <c r="R58" s="12"/>
      <c r="S58" s="8" t="s">
        <v>495</v>
      </c>
      <c r="T58" s="8"/>
      <c r="U58" s="8"/>
      <c r="V58" s="8" t="s">
        <v>227</v>
      </c>
      <c r="W58" s="8" t="s">
        <v>496</v>
      </c>
      <c r="X58" s="8"/>
      <c r="Y58" s="8"/>
      <c r="Z58" s="7" t="s">
        <v>61</v>
      </c>
      <c r="AA58" s="8" t="s">
        <v>62</v>
      </c>
      <c r="AB58" s="9" t="n">
        <v>110</v>
      </c>
      <c r="AC58" s="8" t="s">
        <v>422</v>
      </c>
    </row>
    <row r="59" customFormat="false" ht="24.75" hidden="false" customHeight="true" outlineLevel="0" collapsed="false">
      <c r="A59" s="12" t="s">
        <v>497</v>
      </c>
      <c r="B59" s="8" t="s">
        <v>188</v>
      </c>
      <c r="C59" s="8" t="s">
        <v>423</v>
      </c>
      <c r="D59" s="8" t="s">
        <v>492</v>
      </c>
      <c r="E59" s="8" t="s">
        <v>498</v>
      </c>
      <c r="F59" s="8" t="s">
        <v>499</v>
      </c>
      <c r="G59" s="8" t="s">
        <v>193</v>
      </c>
      <c r="H59" s="8" t="str">
        <f aca="false">IF(COUNTIF(M59:R59,"M")&gt;0,"Must Have",IF(COUNTIF(M59:R59,"S")&gt;0,"Should Have",IF(COUNTIF(M59:R59,"C")&gt;0,"Could Have",IF(COUNTA(M59:R59)&gt;0,"Stated – no priority","Aurigo-only (no RFP source)"))))</f>
        <v>Must Have</v>
      </c>
      <c r="I59" s="12" t="n">
        <f aca="false">COUNTA(M59:R59)</f>
        <v>1</v>
      </c>
      <c r="J59" s="12" t="n">
        <f aca="false">COUNTIF(M59:R59,"M")</f>
        <v>1</v>
      </c>
      <c r="K59" s="8" t="str">
        <f aca="false">IF(I59=0,"Aurigo-only",IF(I59=1,"Single source",IF(I59=2,"Two sources",IF(I59&lt;=4,"Common (3-4)","Broad (5+)"))))</f>
        <v>Single source</v>
      </c>
      <c r="L59" s="8" t="str">
        <f aca="false">IF(J59&gt;=3,"Tier 1: Must in 3+ sources",IF(J59=2,"Tier 2: Must in 2 sources",IF(J59=1,"Tier 3: Must in 1 source",IF(COUNTIF(M59:R59,"S")&gt;0,"Tier 4: Should only",IF(COUNTIF(M59:R59,"C")&gt;0,"Tier 5: Could only",IF(I59&gt;0,"Tier 6: stated, no priority","Aurigo-only"))))))</f>
        <v>Tier 3: Must in 1 source</v>
      </c>
      <c r="M59" s="12" t="s">
        <v>194</v>
      </c>
      <c r="N59" s="12"/>
      <c r="O59" s="12"/>
      <c r="P59" s="12"/>
      <c r="Q59" s="12"/>
      <c r="R59" s="12"/>
      <c r="S59" s="8" t="s">
        <v>500</v>
      </c>
      <c r="T59" s="8"/>
      <c r="U59" s="8"/>
      <c r="V59" s="8" t="s">
        <v>204</v>
      </c>
      <c r="W59" s="8" t="s">
        <v>205</v>
      </c>
      <c r="X59" s="8"/>
      <c r="Y59" s="8"/>
      <c r="Z59" s="7" t="s">
        <v>61</v>
      </c>
      <c r="AA59" s="8" t="s">
        <v>62</v>
      </c>
      <c r="AB59" s="9" t="n">
        <v>112</v>
      </c>
      <c r="AC59" s="8" t="s">
        <v>422</v>
      </c>
    </row>
    <row r="60" customFormat="false" ht="24.75" hidden="false" customHeight="true" outlineLevel="0" collapsed="false">
      <c r="A60" s="12" t="s">
        <v>501</v>
      </c>
      <c r="B60" s="8" t="s">
        <v>188</v>
      </c>
      <c r="C60" s="8" t="s">
        <v>423</v>
      </c>
      <c r="D60" s="8" t="s">
        <v>492</v>
      </c>
      <c r="E60" s="8" t="s">
        <v>502</v>
      </c>
      <c r="F60" s="8" t="s">
        <v>503</v>
      </c>
      <c r="G60" s="8" t="s">
        <v>193</v>
      </c>
      <c r="H60" s="8" t="str">
        <f aca="false">IF(COUNTIF(M60:R60,"M")&gt;0,"Must Have",IF(COUNTIF(M60:R60,"S")&gt;0,"Should Have",IF(COUNTIF(M60:R60,"C")&gt;0,"Could Have",IF(COUNTA(M60:R60)&gt;0,"Stated – no priority","Aurigo-only (no RFP source)"))))</f>
        <v>Must Have</v>
      </c>
      <c r="I60" s="12" t="n">
        <f aca="false">COUNTA(M60:R60)</f>
        <v>1</v>
      </c>
      <c r="J60" s="12" t="n">
        <f aca="false">COUNTIF(M60:R60,"M")</f>
        <v>1</v>
      </c>
      <c r="K60" s="8" t="str">
        <f aca="false">IF(I60=0,"Aurigo-only",IF(I60=1,"Single source",IF(I60=2,"Two sources",IF(I60&lt;=4,"Common (3-4)","Broad (5+)"))))</f>
        <v>Single source</v>
      </c>
      <c r="L60" s="8" t="str">
        <f aca="false">IF(J60&gt;=3,"Tier 1: Must in 3+ sources",IF(J60=2,"Tier 2: Must in 2 sources",IF(J60=1,"Tier 3: Must in 1 source",IF(COUNTIF(M60:R60,"S")&gt;0,"Tier 4: Should only",IF(COUNTIF(M60:R60,"C")&gt;0,"Tier 5: Could only",IF(I60&gt;0,"Tier 6: stated, no priority","Aurigo-only"))))))</f>
        <v>Tier 3: Must in 1 source</v>
      </c>
      <c r="M60" s="12" t="s">
        <v>194</v>
      </c>
      <c r="N60" s="12"/>
      <c r="O60" s="12"/>
      <c r="P60" s="12"/>
      <c r="Q60" s="12"/>
      <c r="R60" s="12"/>
      <c r="S60" s="8" t="s">
        <v>504</v>
      </c>
      <c r="T60" s="8"/>
      <c r="U60" s="8"/>
      <c r="V60" s="8" t="s">
        <v>204</v>
      </c>
      <c r="W60" s="8" t="s">
        <v>205</v>
      </c>
      <c r="X60" s="8"/>
      <c r="Y60" s="8"/>
      <c r="Z60" s="7" t="s">
        <v>129</v>
      </c>
      <c r="AA60" s="8" t="s">
        <v>130</v>
      </c>
      <c r="AB60" s="9" t="n">
        <v>299</v>
      </c>
      <c r="AC60" s="8" t="s">
        <v>505</v>
      </c>
    </row>
    <row r="61" customFormat="false" ht="24.75" hidden="false" customHeight="true" outlineLevel="0" collapsed="false">
      <c r="A61" s="12" t="s">
        <v>506</v>
      </c>
      <c r="B61" s="8" t="s">
        <v>188</v>
      </c>
      <c r="C61" s="8" t="s">
        <v>423</v>
      </c>
      <c r="D61" s="8" t="s">
        <v>492</v>
      </c>
      <c r="E61" s="8" t="s">
        <v>507</v>
      </c>
      <c r="F61" s="8" t="s">
        <v>508</v>
      </c>
      <c r="G61" s="8" t="s">
        <v>193</v>
      </c>
      <c r="H61" s="8" t="str">
        <f aca="false">IF(COUNTIF(M61:R61,"M")&gt;0,"Must Have",IF(COUNTIF(M61:R61,"S")&gt;0,"Should Have",IF(COUNTIF(M61:R61,"C")&gt;0,"Could Have",IF(COUNTA(M61:R61)&gt;0,"Stated – no priority","Aurigo-only (no RFP source)"))))</f>
        <v>Must Have</v>
      </c>
      <c r="I61" s="12" t="n">
        <f aca="false">COUNTA(M61:R61)</f>
        <v>1</v>
      </c>
      <c r="J61" s="12" t="n">
        <f aca="false">COUNTIF(M61:R61,"M")</f>
        <v>1</v>
      </c>
      <c r="K61" s="8" t="str">
        <f aca="false">IF(I61=0,"Aurigo-only",IF(I61=1,"Single source",IF(I61=2,"Two sources",IF(I61&lt;=4,"Common (3-4)","Broad (5+)"))))</f>
        <v>Single source</v>
      </c>
      <c r="L61" s="8" t="str">
        <f aca="false">IF(J61&gt;=3,"Tier 1: Must in 3+ sources",IF(J61=2,"Tier 2: Must in 2 sources",IF(J61=1,"Tier 3: Must in 1 source",IF(COUNTIF(M61:R61,"S")&gt;0,"Tier 4: Should only",IF(COUNTIF(M61:R61,"C")&gt;0,"Tier 5: Could only",IF(I61&gt;0,"Tier 6: stated, no priority","Aurigo-only"))))))</f>
        <v>Tier 3: Must in 1 source</v>
      </c>
      <c r="M61" s="12" t="s">
        <v>194</v>
      </c>
      <c r="N61" s="12"/>
      <c r="O61" s="12"/>
      <c r="P61" s="12"/>
      <c r="Q61" s="12"/>
      <c r="R61" s="12"/>
      <c r="S61" s="8" t="s">
        <v>509</v>
      </c>
      <c r="T61" s="8"/>
      <c r="U61" s="8"/>
      <c r="V61" s="8" t="s">
        <v>204</v>
      </c>
      <c r="W61" s="8" t="s">
        <v>205</v>
      </c>
      <c r="X61" s="8"/>
      <c r="Y61" s="8"/>
      <c r="Z61" s="7" t="s">
        <v>70</v>
      </c>
      <c r="AA61" s="8" t="s">
        <v>71</v>
      </c>
      <c r="AB61" s="9" t="n">
        <v>158</v>
      </c>
      <c r="AC61" s="8" t="s">
        <v>510</v>
      </c>
    </row>
    <row r="62" customFormat="false" ht="49.5" hidden="false" customHeight="true" outlineLevel="0" collapsed="false">
      <c r="A62" s="12" t="s">
        <v>511</v>
      </c>
      <c r="B62" s="8" t="s">
        <v>188</v>
      </c>
      <c r="C62" s="8" t="s">
        <v>423</v>
      </c>
      <c r="D62" s="8" t="s">
        <v>512</v>
      </c>
      <c r="E62" s="8" t="s">
        <v>513</v>
      </c>
      <c r="F62" s="8" t="s">
        <v>514</v>
      </c>
      <c r="G62" s="8" t="s">
        <v>193</v>
      </c>
      <c r="H62" s="8" t="str">
        <f aca="false">IF(COUNTIF(M62:R62,"M")&gt;0,"Must Have",IF(COUNTIF(M62:R62,"S")&gt;0,"Should Have",IF(COUNTIF(M62:R62,"C")&gt;0,"Could Have",IF(COUNTA(M62:R62)&gt;0,"Stated – no priority","Aurigo-only (no RFP source)"))))</f>
        <v>Must Have</v>
      </c>
      <c r="I62" s="12" t="n">
        <f aca="false">COUNTA(M62:R62)</f>
        <v>2</v>
      </c>
      <c r="J62" s="12" t="n">
        <f aca="false">COUNTIF(M62:R62,"M")</f>
        <v>2</v>
      </c>
      <c r="K62" s="8" t="str">
        <f aca="false">IF(I62=0,"Aurigo-only",IF(I62=1,"Single source",IF(I62=2,"Two sources",IF(I62&lt;=4,"Common (3-4)","Broad (5+)"))))</f>
        <v>Two sources</v>
      </c>
      <c r="L62" s="8" t="str">
        <f aca="false">IF(J62&gt;=3,"Tier 1: Must in 3+ sources",IF(J62=2,"Tier 2: Must in 2 sources",IF(J62=1,"Tier 3: Must in 1 source",IF(COUNTIF(M62:R62,"S")&gt;0,"Tier 4: Should only",IF(COUNTIF(M62:R62,"C")&gt;0,"Tier 5: Could only",IF(I62&gt;0,"Tier 6: stated, no priority","Aurigo-only"))))))</f>
        <v>Tier 2: Must in 2 sources</v>
      </c>
      <c r="M62" s="12" t="s">
        <v>194</v>
      </c>
      <c r="N62" s="12" t="s">
        <v>194</v>
      </c>
      <c r="O62" s="12"/>
      <c r="P62" s="12"/>
      <c r="Q62" s="12"/>
      <c r="R62" s="12"/>
      <c r="S62" s="8" t="s">
        <v>515</v>
      </c>
      <c r="T62" s="8" t="s">
        <v>516</v>
      </c>
      <c r="U62" s="8"/>
      <c r="V62" s="8" t="s">
        <v>204</v>
      </c>
      <c r="W62" s="8" t="s">
        <v>205</v>
      </c>
      <c r="X62" s="8"/>
      <c r="Y62" s="8"/>
      <c r="Z62" s="7" t="s">
        <v>61</v>
      </c>
      <c r="AA62" s="8" t="s">
        <v>62</v>
      </c>
      <c r="AB62" s="9" t="n">
        <v>115</v>
      </c>
      <c r="AC62" s="8" t="s">
        <v>436</v>
      </c>
    </row>
    <row r="63" customFormat="false" ht="37.5" hidden="false" customHeight="true" outlineLevel="0" collapsed="false">
      <c r="A63" s="12" t="s">
        <v>517</v>
      </c>
      <c r="B63" s="8" t="s">
        <v>188</v>
      </c>
      <c r="C63" s="8" t="s">
        <v>423</v>
      </c>
      <c r="D63" s="8" t="s">
        <v>518</v>
      </c>
      <c r="E63" s="8" t="s">
        <v>519</v>
      </c>
      <c r="F63" s="8" t="s">
        <v>520</v>
      </c>
      <c r="G63" s="8" t="s">
        <v>193</v>
      </c>
      <c r="H63" s="8" t="str">
        <f aca="false">IF(COUNTIF(M63:R63,"M")&gt;0,"Must Have",IF(COUNTIF(M63:R63,"S")&gt;0,"Should Have",IF(COUNTIF(M63:R63,"C")&gt;0,"Could Have",IF(COUNTA(M63:R63)&gt;0,"Stated – no priority","Aurigo-only (no RFP source)"))))</f>
        <v>Must Have</v>
      </c>
      <c r="I63" s="12" t="n">
        <f aca="false">COUNTA(M63:R63)</f>
        <v>1</v>
      </c>
      <c r="J63" s="12" t="n">
        <f aca="false">COUNTIF(M63:R63,"M")</f>
        <v>1</v>
      </c>
      <c r="K63" s="8" t="str">
        <f aca="false">IF(I63=0,"Aurigo-only",IF(I63=1,"Single source",IF(I63=2,"Two sources",IF(I63&lt;=4,"Common (3-4)","Broad (5+)"))))</f>
        <v>Single source</v>
      </c>
      <c r="L63" s="8" t="str">
        <f aca="false">IF(J63&gt;=3,"Tier 1: Must in 3+ sources",IF(J63=2,"Tier 2: Must in 2 sources",IF(J63=1,"Tier 3: Must in 1 source",IF(COUNTIF(M63:R63,"S")&gt;0,"Tier 4: Should only",IF(COUNTIF(M63:R63,"C")&gt;0,"Tier 5: Could only",IF(I63&gt;0,"Tier 6: stated, no priority","Aurigo-only"))))))</f>
        <v>Tier 3: Must in 1 source</v>
      </c>
      <c r="M63" s="12" t="s">
        <v>194</v>
      </c>
      <c r="N63" s="12"/>
      <c r="O63" s="12"/>
      <c r="P63" s="12"/>
      <c r="Q63" s="12"/>
      <c r="R63" s="12"/>
      <c r="S63" s="8" t="s">
        <v>521</v>
      </c>
      <c r="T63" s="8"/>
      <c r="U63" s="8"/>
      <c r="V63" s="8" t="s">
        <v>204</v>
      </c>
      <c r="W63" s="8" t="s">
        <v>205</v>
      </c>
      <c r="X63" s="8"/>
      <c r="Y63" s="8"/>
      <c r="Z63" s="7" t="s">
        <v>61</v>
      </c>
      <c r="AA63" s="8" t="s">
        <v>62</v>
      </c>
      <c r="AB63" s="9" t="n">
        <v>116</v>
      </c>
      <c r="AC63" s="8" t="s">
        <v>522</v>
      </c>
    </row>
    <row r="64" customFormat="false" ht="49.5" hidden="false" customHeight="true" outlineLevel="0" collapsed="false">
      <c r="A64" s="12" t="s">
        <v>523</v>
      </c>
      <c r="B64" s="8" t="s">
        <v>188</v>
      </c>
      <c r="C64" s="8" t="s">
        <v>423</v>
      </c>
      <c r="D64" s="8" t="s">
        <v>518</v>
      </c>
      <c r="E64" s="8" t="s">
        <v>524</v>
      </c>
      <c r="F64" s="8" t="s">
        <v>525</v>
      </c>
      <c r="G64" s="8" t="s">
        <v>370</v>
      </c>
      <c r="H64" s="8" t="str">
        <f aca="false">IF(COUNTIF(M64:R64,"M")&gt;0,"Must Have",IF(COUNTIF(M64:R64,"S")&gt;0,"Should Have",IF(COUNTIF(M64:R64,"C")&gt;0,"Could Have",IF(COUNTA(M64:R64)&gt;0,"Stated – no priority","Aurigo-only (no RFP source)"))))</f>
        <v>Should Have</v>
      </c>
      <c r="I64" s="12" t="n">
        <f aca="false">COUNTA(M64:R64)</f>
        <v>1</v>
      </c>
      <c r="J64" s="12" t="n">
        <f aca="false">COUNTIF(M64:R64,"M")</f>
        <v>0</v>
      </c>
      <c r="K64" s="8" t="str">
        <f aca="false">IF(I64=0,"Aurigo-only",IF(I64=1,"Single source",IF(I64=2,"Two sources",IF(I64&lt;=4,"Common (3-4)","Broad (5+)"))))</f>
        <v>Single source</v>
      </c>
      <c r="L64" s="8" t="str">
        <f aca="false">IF(J64&gt;=3,"Tier 1: Must in 3+ sources",IF(J64=2,"Tier 2: Must in 2 sources",IF(J64=1,"Tier 3: Must in 1 source",IF(COUNTIF(M64:R64,"S")&gt;0,"Tier 4: Should only",IF(COUNTIF(M64:R64,"C")&gt;0,"Tier 5: Could only",IF(I64&gt;0,"Tier 6: stated, no priority","Aurigo-only"))))))</f>
        <v>Tier 4: Should only</v>
      </c>
      <c r="M64" s="12" t="s">
        <v>232</v>
      </c>
      <c r="N64" s="12"/>
      <c r="O64" s="12"/>
      <c r="P64" s="12"/>
      <c r="Q64" s="12"/>
      <c r="R64" s="12"/>
      <c r="S64" s="8" t="s">
        <v>526</v>
      </c>
      <c r="T64" s="8"/>
      <c r="U64" s="8"/>
      <c r="V64" s="8" t="s">
        <v>204</v>
      </c>
      <c r="W64" s="8" t="s">
        <v>205</v>
      </c>
      <c r="X64" s="8"/>
      <c r="Y64" s="8"/>
      <c r="Z64" s="7" t="s">
        <v>61</v>
      </c>
      <c r="AA64" s="8" t="s">
        <v>62</v>
      </c>
      <c r="AB64" s="9" t="n">
        <v>118</v>
      </c>
      <c r="AC64" s="8" t="s">
        <v>430</v>
      </c>
    </row>
    <row r="65" customFormat="false" ht="24.75" hidden="false" customHeight="true" outlineLevel="0" collapsed="false">
      <c r="A65" s="12" t="s">
        <v>527</v>
      </c>
      <c r="B65" s="8" t="s">
        <v>188</v>
      </c>
      <c r="C65" s="8" t="s">
        <v>423</v>
      </c>
      <c r="D65" s="8" t="s">
        <v>518</v>
      </c>
      <c r="E65" s="8" t="s">
        <v>528</v>
      </c>
      <c r="F65" s="8" t="s">
        <v>529</v>
      </c>
      <c r="G65" s="8" t="s">
        <v>193</v>
      </c>
      <c r="H65" s="8" t="str">
        <f aca="false">IF(COUNTIF(M65:R65,"M")&gt;0,"Must Have",IF(COUNTIF(M65:R65,"S")&gt;0,"Should Have",IF(COUNTIF(M65:R65,"C")&gt;0,"Could Have",IF(COUNTA(M65:R65)&gt;0,"Stated – no priority","Aurigo-only (no RFP source)"))))</f>
        <v>Should Have</v>
      </c>
      <c r="I65" s="12" t="n">
        <f aca="false">COUNTA(M65:R65)</f>
        <v>1</v>
      </c>
      <c r="J65" s="12" t="n">
        <f aca="false">COUNTIF(M65:R65,"M")</f>
        <v>0</v>
      </c>
      <c r="K65" s="8" t="str">
        <f aca="false">IF(I65=0,"Aurigo-only",IF(I65=1,"Single source",IF(I65=2,"Two sources",IF(I65&lt;=4,"Common (3-4)","Broad (5+)"))))</f>
        <v>Single source</v>
      </c>
      <c r="L65" s="8" t="str">
        <f aca="false">IF(J65&gt;=3,"Tier 1: Must in 3+ sources",IF(J65=2,"Tier 2: Must in 2 sources",IF(J65=1,"Tier 3: Must in 1 source",IF(COUNTIF(M65:R65,"S")&gt;0,"Tier 4: Should only",IF(COUNTIF(M65:R65,"C")&gt;0,"Tier 5: Could only",IF(I65&gt;0,"Tier 6: stated, no priority","Aurigo-only"))))))</f>
        <v>Tier 4: Should only</v>
      </c>
      <c r="M65" s="12" t="s">
        <v>232</v>
      </c>
      <c r="N65" s="12"/>
      <c r="O65" s="12"/>
      <c r="P65" s="12"/>
      <c r="Q65" s="12"/>
      <c r="R65" s="12"/>
      <c r="S65" s="8" t="s">
        <v>530</v>
      </c>
      <c r="T65" s="8"/>
      <c r="U65" s="8"/>
      <c r="V65" s="8" t="s">
        <v>204</v>
      </c>
      <c r="W65" s="8" t="s">
        <v>205</v>
      </c>
      <c r="X65" s="8"/>
      <c r="Y65" s="8"/>
      <c r="Z65" s="7" t="s">
        <v>61</v>
      </c>
      <c r="AA65" s="8" t="s">
        <v>62</v>
      </c>
      <c r="AB65" s="9" t="n">
        <v>119</v>
      </c>
      <c r="AC65" s="8" t="s">
        <v>522</v>
      </c>
    </row>
    <row r="66" customFormat="false" ht="99.75" hidden="false" customHeight="true" outlineLevel="0" collapsed="false">
      <c r="A66" s="12" t="s">
        <v>531</v>
      </c>
      <c r="B66" s="8" t="s">
        <v>188</v>
      </c>
      <c r="C66" s="8" t="s">
        <v>532</v>
      </c>
      <c r="D66" s="8" t="s">
        <v>533</v>
      </c>
      <c r="E66" s="8" t="s">
        <v>534</v>
      </c>
      <c r="F66" s="8" t="s">
        <v>535</v>
      </c>
      <c r="G66" s="8" t="s">
        <v>193</v>
      </c>
      <c r="H66" s="8" t="str">
        <f aca="false">IF(COUNTIF(M66:R66,"M")&gt;0,"Must Have",IF(COUNTIF(M66:R66,"S")&gt;0,"Should Have",IF(COUNTIF(M66:R66,"C")&gt;0,"Could Have",IF(COUNTA(M66:R66)&gt;0,"Stated – no priority","Aurigo-only (no RFP source)"))))</f>
        <v>Must Have</v>
      </c>
      <c r="I66" s="12" t="n">
        <f aca="false">COUNTA(M66:R66)</f>
        <v>4</v>
      </c>
      <c r="J66" s="12" t="n">
        <f aca="false">COUNTIF(M66:R66,"M")</f>
        <v>3</v>
      </c>
      <c r="K66" s="8" t="str">
        <f aca="false">IF(I66=0,"Aurigo-only",IF(I66=1,"Single source",IF(I66=2,"Two sources",IF(I66&lt;=4,"Common (3-4)","Broad (5+)"))))</f>
        <v>Common (3-4)</v>
      </c>
      <c r="L66" s="8" t="str">
        <f aca="false">IF(J66&gt;=3,"Tier 1: Must in 3+ sources",IF(J66=2,"Tier 2: Must in 2 sources",IF(J66=1,"Tier 3: Must in 1 source",IF(COUNTIF(M66:R66,"S")&gt;0,"Tier 4: Should only",IF(COUNTIF(M66:R66,"C")&gt;0,"Tier 5: Could only",IF(I66&gt;0,"Tier 6: stated, no priority","Aurigo-only"))))))</f>
        <v>Tier 1: Must in 3+ sources</v>
      </c>
      <c r="M66" s="12" t="s">
        <v>194</v>
      </c>
      <c r="N66" s="12" t="s">
        <v>194</v>
      </c>
      <c r="O66" s="12"/>
      <c r="P66" s="12" t="s">
        <v>195</v>
      </c>
      <c r="Q66" s="12" t="s">
        <v>194</v>
      </c>
      <c r="R66" s="12"/>
      <c r="S66" s="8" t="s">
        <v>536</v>
      </c>
      <c r="T66" s="8"/>
      <c r="U66" s="8"/>
      <c r="V66" s="8" t="s">
        <v>197</v>
      </c>
      <c r="W66" s="8" t="s">
        <v>537</v>
      </c>
      <c r="X66" s="8"/>
      <c r="Y66" s="8"/>
      <c r="Z66" s="7" t="s">
        <v>64</v>
      </c>
      <c r="AA66" s="8" t="s">
        <v>65</v>
      </c>
      <c r="AB66" s="9" t="n">
        <v>133</v>
      </c>
      <c r="AC66" s="8" t="s">
        <v>538</v>
      </c>
    </row>
    <row r="67" customFormat="false" ht="37.5" hidden="false" customHeight="true" outlineLevel="0" collapsed="false">
      <c r="A67" s="12" t="s">
        <v>539</v>
      </c>
      <c r="B67" s="8" t="s">
        <v>188</v>
      </c>
      <c r="C67" s="8" t="s">
        <v>532</v>
      </c>
      <c r="D67" s="8" t="s">
        <v>533</v>
      </c>
      <c r="E67" s="8" t="s">
        <v>540</v>
      </c>
      <c r="F67" s="8" t="s">
        <v>541</v>
      </c>
      <c r="G67" s="8" t="s">
        <v>193</v>
      </c>
      <c r="H67" s="8" t="str">
        <f aca="false">IF(COUNTIF(M67:R67,"M")&gt;0,"Must Have",IF(COUNTIF(M67:R67,"S")&gt;0,"Should Have",IF(COUNTIF(M67:R67,"C")&gt;0,"Could Have",IF(COUNTA(M67:R67)&gt;0,"Stated – no priority","Aurigo-only (no RFP source)"))))</f>
        <v>Must Have</v>
      </c>
      <c r="I67" s="12" t="n">
        <f aca="false">COUNTA(M67:R67)</f>
        <v>1</v>
      </c>
      <c r="J67" s="12" t="n">
        <f aca="false">COUNTIF(M67:R67,"M")</f>
        <v>1</v>
      </c>
      <c r="K67" s="8" t="str">
        <f aca="false">IF(I67=0,"Aurigo-only",IF(I67=1,"Single source",IF(I67=2,"Two sources",IF(I67&lt;=4,"Common (3-4)","Broad (5+)"))))</f>
        <v>Single source</v>
      </c>
      <c r="L67" s="8" t="str">
        <f aca="false">IF(J67&gt;=3,"Tier 1: Must in 3+ sources",IF(J67=2,"Tier 2: Must in 2 sources",IF(J67=1,"Tier 3: Must in 1 source",IF(COUNTIF(M67:R67,"S")&gt;0,"Tier 4: Should only",IF(COUNTIF(M67:R67,"C")&gt;0,"Tier 5: Could only",IF(I67&gt;0,"Tier 6: stated, no priority","Aurigo-only"))))))</f>
        <v>Tier 3: Must in 1 source</v>
      </c>
      <c r="M67" s="12"/>
      <c r="N67" s="12" t="s">
        <v>194</v>
      </c>
      <c r="O67" s="12"/>
      <c r="P67" s="12"/>
      <c r="Q67" s="12"/>
      <c r="R67" s="12"/>
      <c r="S67" s="8" t="s">
        <v>542</v>
      </c>
      <c r="T67" s="8"/>
      <c r="U67" s="8"/>
      <c r="V67" s="8" t="s">
        <v>204</v>
      </c>
      <c r="W67" s="8" t="s">
        <v>205</v>
      </c>
      <c r="X67" s="8"/>
      <c r="Y67" s="8"/>
      <c r="Z67" s="7" t="s">
        <v>64</v>
      </c>
      <c r="AA67" s="8" t="s">
        <v>65</v>
      </c>
      <c r="AB67" s="9" t="n">
        <v>132</v>
      </c>
      <c r="AC67" s="8" t="s">
        <v>543</v>
      </c>
    </row>
    <row r="68" customFormat="false" ht="49.5" hidden="false" customHeight="true" outlineLevel="0" collapsed="false">
      <c r="A68" s="12" t="s">
        <v>544</v>
      </c>
      <c r="B68" s="8" t="s">
        <v>188</v>
      </c>
      <c r="C68" s="8" t="s">
        <v>532</v>
      </c>
      <c r="D68" s="8" t="s">
        <v>533</v>
      </c>
      <c r="E68" s="8" t="s">
        <v>545</v>
      </c>
      <c r="F68" s="8" t="s">
        <v>546</v>
      </c>
      <c r="G68" s="8" t="s">
        <v>193</v>
      </c>
      <c r="H68" s="8" t="str">
        <f aca="false">IF(COUNTIF(M68:R68,"M")&gt;0,"Must Have",IF(COUNTIF(M68:R68,"S")&gt;0,"Should Have",IF(COUNTIF(M68:R68,"C")&gt;0,"Could Have",IF(COUNTA(M68:R68)&gt;0,"Stated – no priority","Aurigo-only (no RFP source)"))))</f>
        <v>Must Have</v>
      </c>
      <c r="I68" s="12" t="n">
        <f aca="false">COUNTA(M68:R68)</f>
        <v>2</v>
      </c>
      <c r="J68" s="12" t="n">
        <f aca="false">COUNTIF(M68:R68,"M")</f>
        <v>2</v>
      </c>
      <c r="K68" s="8" t="str">
        <f aca="false">IF(I68=0,"Aurigo-only",IF(I68=1,"Single source",IF(I68=2,"Two sources",IF(I68&lt;=4,"Common (3-4)","Broad (5+)"))))</f>
        <v>Two sources</v>
      </c>
      <c r="L68" s="8" t="str">
        <f aca="false">IF(J68&gt;=3,"Tier 1: Must in 3+ sources",IF(J68=2,"Tier 2: Must in 2 sources",IF(J68=1,"Tier 3: Must in 1 source",IF(COUNTIF(M68:R68,"S")&gt;0,"Tier 4: Should only",IF(COUNTIF(M68:R68,"C")&gt;0,"Tier 5: Could only",IF(I68&gt;0,"Tier 6: stated, no priority","Aurigo-only"))))))</f>
        <v>Tier 2: Must in 2 sources</v>
      </c>
      <c r="M68" s="12" t="s">
        <v>194</v>
      </c>
      <c r="N68" s="12" t="s">
        <v>194</v>
      </c>
      <c r="O68" s="12"/>
      <c r="P68" s="12"/>
      <c r="Q68" s="12"/>
      <c r="R68" s="12"/>
      <c r="S68" s="8" t="s">
        <v>547</v>
      </c>
      <c r="T68" s="8"/>
      <c r="U68" s="8"/>
      <c r="V68" s="8" t="s">
        <v>197</v>
      </c>
      <c r="W68" s="8" t="s">
        <v>548</v>
      </c>
      <c r="X68" s="8" t="s">
        <v>549</v>
      </c>
      <c r="Y68" s="8"/>
      <c r="Z68" s="7" t="s">
        <v>64</v>
      </c>
      <c r="AA68" s="8" t="s">
        <v>65</v>
      </c>
      <c r="AB68" s="9" t="n">
        <v>139</v>
      </c>
      <c r="AC68" s="8" t="s">
        <v>531</v>
      </c>
    </row>
    <row r="69" customFormat="false" ht="49.5" hidden="false" customHeight="true" outlineLevel="0" collapsed="false">
      <c r="A69" s="12" t="s">
        <v>550</v>
      </c>
      <c r="B69" s="8" t="s">
        <v>188</v>
      </c>
      <c r="C69" s="8" t="s">
        <v>532</v>
      </c>
      <c r="D69" s="8" t="s">
        <v>533</v>
      </c>
      <c r="E69" s="8" t="s">
        <v>551</v>
      </c>
      <c r="F69" s="8" t="s">
        <v>552</v>
      </c>
      <c r="G69" s="8" t="s">
        <v>193</v>
      </c>
      <c r="H69" s="8" t="str">
        <f aca="false">IF(COUNTIF(M69:R69,"M")&gt;0,"Must Have",IF(COUNTIF(M69:R69,"S")&gt;0,"Should Have",IF(COUNTIF(M69:R69,"C")&gt;0,"Could Have",IF(COUNTA(M69:R69)&gt;0,"Stated – no priority","Aurigo-only (no RFP source)"))))</f>
        <v>Must Have</v>
      </c>
      <c r="I69" s="12" t="n">
        <f aca="false">COUNTA(M69:R69)</f>
        <v>1</v>
      </c>
      <c r="J69" s="12" t="n">
        <f aca="false">COUNTIF(M69:R69,"M")</f>
        <v>1</v>
      </c>
      <c r="K69" s="8" t="str">
        <f aca="false">IF(I69=0,"Aurigo-only",IF(I69=1,"Single source",IF(I69=2,"Two sources",IF(I69&lt;=4,"Common (3-4)","Broad (5+)"))))</f>
        <v>Single source</v>
      </c>
      <c r="L69" s="8" t="str">
        <f aca="false">IF(J69&gt;=3,"Tier 1: Must in 3+ sources",IF(J69=2,"Tier 2: Must in 2 sources",IF(J69=1,"Tier 3: Must in 1 source",IF(COUNTIF(M69:R69,"S")&gt;0,"Tier 4: Should only",IF(COUNTIF(M69:R69,"C")&gt;0,"Tier 5: Could only",IF(I69&gt;0,"Tier 6: stated, no priority","Aurigo-only"))))))</f>
        <v>Tier 3: Must in 1 source</v>
      </c>
      <c r="M69" s="12"/>
      <c r="N69" s="12" t="s">
        <v>194</v>
      </c>
      <c r="O69" s="12"/>
      <c r="P69" s="12"/>
      <c r="Q69" s="12"/>
      <c r="R69" s="12"/>
      <c r="S69" s="8" t="s">
        <v>553</v>
      </c>
      <c r="T69" s="8"/>
      <c r="U69" s="8"/>
      <c r="V69" s="8" t="s">
        <v>204</v>
      </c>
      <c r="W69" s="8" t="s">
        <v>205</v>
      </c>
      <c r="X69" s="8"/>
      <c r="Y69" s="8"/>
      <c r="Z69" s="7" t="s">
        <v>64</v>
      </c>
      <c r="AA69" s="8" t="s">
        <v>65</v>
      </c>
      <c r="AB69" s="9" t="n">
        <v>134</v>
      </c>
      <c r="AC69" s="8" t="s">
        <v>531</v>
      </c>
    </row>
    <row r="70" customFormat="false" ht="49.5" hidden="false" customHeight="true" outlineLevel="0" collapsed="false">
      <c r="A70" s="12" t="s">
        <v>554</v>
      </c>
      <c r="B70" s="8" t="s">
        <v>188</v>
      </c>
      <c r="C70" s="8" t="s">
        <v>532</v>
      </c>
      <c r="D70" s="8" t="s">
        <v>533</v>
      </c>
      <c r="E70" s="8" t="s">
        <v>555</v>
      </c>
      <c r="F70" s="8" t="s">
        <v>556</v>
      </c>
      <c r="G70" s="8" t="s">
        <v>193</v>
      </c>
      <c r="H70" s="8" t="str">
        <f aca="false">IF(COUNTIF(M70:R70,"M")&gt;0,"Must Have",IF(COUNTIF(M70:R70,"S")&gt;0,"Should Have",IF(COUNTIF(M70:R70,"C")&gt;0,"Could Have",IF(COUNTA(M70:R70)&gt;0,"Stated – no priority","Aurigo-only (no RFP source)"))))</f>
        <v>Must Have</v>
      </c>
      <c r="I70" s="12" t="n">
        <f aca="false">COUNTA(M70:R70)</f>
        <v>1</v>
      </c>
      <c r="J70" s="12" t="n">
        <f aca="false">COUNTIF(M70:R70,"M")</f>
        <v>1</v>
      </c>
      <c r="K70" s="8" t="str">
        <f aca="false">IF(I70=0,"Aurigo-only",IF(I70=1,"Single source",IF(I70=2,"Two sources",IF(I70&lt;=4,"Common (3-4)","Broad (5+)"))))</f>
        <v>Single source</v>
      </c>
      <c r="L70" s="8" t="str">
        <f aca="false">IF(J70&gt;=3,"Tier 1: Must in 3+ sources",IF(J70=2,"Tier 2: Must in 2 sources",IF(J70=1,"Tier 3: Must in 1 source",IF(COUNTIF(M70:R70,"S")&gt;0,"Tier 4: Should only",IF(COUNTIF(M70:R70,"C")&gt;0,"Tier 5: Could only",IF(I70&gt;0,"Tier 6: stated, no priority","Aurigo-only"))))))</f>
        <v>Tier 3: Must in 1 source</v>
      </c>
      <c r="M70" s="12"/>
      <c r="N70" s="12" t="s">
        <v>194</v>
      </c>
      <c r="O70" s="12"/>
      <c r="P70" s="12"/>
      <c r="Q70" s="12"/>
      <c r="R70" s="12"/>
      <c r="S70" s="8" t="s">
        <v>553</v>
      </c>
      <c r="T70" s="8"/>
      <c r="U70" s="8"/>
      <c r="V70" s="8" t="s">
        <v>204</v>
      </c>
      <c r="W70" s="8" t="s">
        <v>205</v>
      </c>
      <c r="X70" s="8"/>
      <c r="Y70" s="8"/>
      <c r="Z70" s="7" t="s">
        <v>64</v>
      </c>
      <c r="AA70" s="8" t="s">
        <v>65</v>
      </c>
      <c r="AB70" s="9" t="n">
        <v>140</v>
      </c>
      <c r="AC70" s="8" t="s">
        <v>531</v>
      </c>
    </row>
    <row r="71" customFormat="false" ht="24.75" hidden="false" customHeight="true" outlineLevel="0" collapsed="false">
      <c r="A71" s="12" t="s">
        <v>557</v>
      </c>
      <c r="B71" s="8" t="s">
        <v>188</v>
      </c>
      <c r="C71" s="8" t="s">
        <v>532</v>
      </c>
      <c r="D71" s="8" t="s">
        <v>533</v>
      </c>
      <c r="E71" s="8" t="s">
        <v>558</v>
      </c>
      <c r="F71" s="8" t="s">
        <v>559</v>
      </c>
      <c r="G71" s="8" t="s">
        <v>193</v>
      </c>
      <c r="H71" s="8" t="str">
        <f aca="false">IF(COUNTIF(M71:R71,"M")&gt;0,"Must Have",IF(COUNTIF(M71:R71,"S")&gt;0,"Should Have",IF(COUNTIF(M71:R71,"C")&gt;0,"Could Have",IF(COUNTA(M71:R71)&gt;0,"Stated – no priority","Aurigo-only (no RFP source)"))))</f>
        <v>Must Have</v>
      </c>
      <c r="I71" s="12" t="n">
        <f aca="false">COUNTA(M71:R71)</f>
        <v>1</v>
      </c>
      <c r="J71" s="12" t="n">
        <f aca="false">COUNTIF(M71:R71,"M")</f>
        <v>1</v>
      </c>
      <c r="K71" s="8" t="str">
        <f aca="false">IF(I71=0,"Aurigo-only",IF(I71=1,"Single source",IF(I71=2,"Two sources",IF(I71&lt;=4,"Common (3-4)","Broad (5+)"))))</f>
        <v>Single source</v>
      </c>
      <c r="L71" s="8" t="str">
        <f aca="false">IF(J71&gt;=3,"Tier 1: Must in 3+ sources",IF(J71=2,"Tier 2: Must in 2 sources",IF(J71=1,"Tier 3: Must in 1 source",IF(COUNTIF(M71:R71,"S")&gt;0,"Tier 4: Should only",IF(COUNTIF(M71:R71,"C")&gt;0,"Tier 5: Could only",IF(I71&gt;0,"Tier 6: stated, no priority","Aurigo-only"))))))</f>
        <v>Tier 3: Must in 1 source</v>
      </c>
      <c r="M71" s="12"/>
      <c r="N71" s="12" t="s">
        <v>194</v>
      </c>
      <c r="O71" s="12"/>
      <c r="P71" s="12"/>
      <c r="Q71" s="12"/>
      <c r="R71" s="12"/>
      <c r="S71" s="8" t="s">
        <v>553</v>
      </c>
      <c r="T71" s="8"/>
      <c r="U71" s="8"/>
      <c r="V71" s="8" t="s">
        <v>204</v>
      </c>
      <c r="W71" s="8" t="s">
        <v>205</v>
      </c>
      <c r="X71" s="8"/>
      <c r="Y71" s="8"/>
      <c r="Z71" s="7" t="s">
        <v>64</v>
      </c>
      <c r="AA71" s="8" t="s">
        <v>65</v>
      </c>
      <c r="AB71" s="9" t="n">
        <v>141</v>
      </c>
      <c r="AC71" s="8" t="s">
        <v>531</v>
      </c>
    </row>
    <row r="72" customFormat="false" ht="24.75" hidden="false" customHeight="true" outlineLevel="0" collapsed="false">
      <c r="A72" s="12" t="s">
        <v>560</v>
      </c>
      <c r="B72" s="8" t="s">
        <v>188</v>
      </c>
      <c r="C72" s="8" t="s">
        <v>532</v>
      </c>
      <c r="D72" s="8" t="s">
        <v>533</v>
      </c>
      <c r="E72" s="8" t="s">
        <v>561</v>
      </c>
      <c r="F72" s="8" t="s">
        <v>562</v>
      </c>
      <c r="G72" s="8" t="s">
        <v>370</v>
      </c>
      <c r="H72" s="8" t="str">
        <f aca="false">IF(COUNTIF(M72:R72,"M")&gt;0,"Must Have",IF(COUNTIF(M72:R72,"S")&gt;0,"Should Have",IF(COUNTIF(M72:R72,"C")&gt;0,"Could Have",IF(COUNTA(M72:R72)&gt;0,"Stated – no priority","Aurigo-only (no RFP source)"))))</f>
        <v>Must Have</v>
      </c>
      <c r="I72" s="12" t="n">
        <f aca="false">COUNTA(M72:R72)</f>
        <v>1</v>
      </c>
      <c r="J72" s="12" t="n">
        <f aca="false">COUNTIF(M72:R72,"M")</f>
        <v>1</v>
      </c>
      <c r="K72" s="8" t="str">
        <f aca="false">IF(I72=0,"Aurigo-only",IF(I72=1,"Single source",IF(I72=2,"Two sources",IF(I72&lt;=4,"Common (3-4)","Broad (5+)"))))</f>
        <v>Single source</v>
      </c>
      <c r="L72" s="8" t="str">
        <f aca="false">IF(J72&gt;=3,"Tier 1: Must in 3+ sources",IF(J72=2,"Tier 2: Must in 2 sources",IF(J72=1,"Tier 3: Must in 1 source",IF(COUNTIF(M72:R72,"S")&gt;0,"Tier 4: Should only",IF(COUNTIF(M72:R72,"C")&gt;0,"Tier 5: Could only",IF(I72&gt;0,"Tier 6: stated, no priority","Aurigo-only"))))))</f>
        <v>Tier 3: Must in 1 source</v>
      </c>
      <c r="M72" s="12"/>
      <c r="N72" s="12" t="s">
        <v>194</v>
      </c>
      <c r="O72" s="12"/>
      <c r="P72" s="12"/>
      <c r="Q72" s="12"/>
      <c r="R72" s="12"/>
      <c r="S72" s="8" t="s">
        <v>242</v>
      </c>
      <c r="T72" s="8"/>
      <c r="U72" s="8"/>
      <c r="V72" s="8" t="s">
        <v>204</v>
      </c>
      <c r="W72" s="8" t="s">
        <v>205</v>
      </c>
      <c r="X72" s="8"/>
      <c r="Y72" s="8"/>
      <c r="Z72" s="7" t="s">
        <v>64</v>
      </c>
      <c r="AA72" s="8" t="s">
        <v>65</v>
      </c>
      <c r="AB72" s="9" t="n">
        <v>142</v>
      </c>
      <c r="AC72" s="8" t="s">
        <v>539</v>
      </c>
    </row>
    <row r="73" customFormat="false" ht="24.75" hidden="false" customHeight="true" outlineLevel="0" collapsed="false">
      <c r="A73" s="12" t="s">
        <v>563</v>
      </c>
      <c r="B73" s="8" t="s">
        <v>188</v>
      </c>
      <c r="C73" s="8" t="s">
        <v>532</v>
      </c>
      <c r="D73" s="8" t="s">
        <v>533</v>
      </c>
      <c r="E73" s="8" t="s">
        <v>564</v>
      </c>
      <c r="F73" s="8" t="s">
        <v>565</v>
      </c>
      <c r="G73" s="8" t="s">
        <v>193</v>
      </c>
      <c r="H73" s="8" t="str">
        <f aca="false">IF(COUNTIF(M73:R73,"M")&gt;0,"Must Have",IF(COUNTIF(M73:R73,"S")&gt;0,"Should Have",IF(COUNTIF(M73:R73,"C")&gt;0,"Could Have",IF(COUNTA(M73:R73)&gt;0,"Stated – no priority","Aurigo-only (no RFP source)"))))</f>
        <v>Must Have</v>
      </c>
      <c r="I73" s="12" t="n">
        <f aca="false">COUNTA(M73:R73)</f>
        <v>1</v>
      </c>
      <c r="J73" s="12" t="n">
        <f aca="false">COUNTIF(M73:R73,"M")</f>
        <v>1</v>
      </c>
      <c r="K73" s="8" t="str">
        <f aca="false">IF(I73=0,"Aurigo-only",IF(I73=1,"Single source",IF(I73=2,"Two sources",IF(I73&lt;=4,"Common (3-4)","Broad (5+)"))))</f>
        <v>Single source</v>
      </c>
      <c r="L73" s="8" t="str">
        <f aca="false">IF(J73&gt;=3,"Tier 1: Must in 3+ sources",IF(J73=2,"Tier 2: Must in 2 sources",IF(J73=1,"Tier 3: Must in 1 source",IF(COUNTIF(M73:R73,"S")&gt;0,"Tier 4: Should only",IF(COUNTIF(M73:R73,"C")&gt;0,"Tier 5: Could only",IF(I73&gt;0,"Tier 6: stated, no priority","Aurigo-only"))))))</f>
        <v>Tier 3: Must in 1 source</v>
      </c>
      <c r="M73" s="12"/>
      <c r="N73" s="12" t="s">
        <v>194</v>
      </c>
      <c r="O73" s="12"/>
      <c r="P73" s="12"/>
      <c r="Q73" s="12"/>
      <c r="R73" s="12"/>
      <c r="S73" s="8" t="s">
        <v>242</v>
      </c>
      <c r="T73" s="8"/>
      <c r="U73" s="8"/>
      <c r="V73" s="8" t="s">
        <v>204</v>
      </c>
      <c r="W73" s="8" t="s">
        <v>205</v>
      </c>
      <c r="X73" s="8"/>
      <c r="Y73" s="8"/>
      <c r="Z73" s="7" t="s">
        <v>67</v>
      </c>
      <c r="AA73" s="8" t="s">
        <v>68</v>
      </c>
      <c r="AB73" s="9" t="n">
        <v>144</v>
      </c>
      <c r="AC73" s="8" t="s">
        <v>544</v>
      </c>
    </row>
    <row r="74" customFormat="false" ht="99.75" hidden="false" customHeight="true" outlineLevel="0" collapsed="false">
      <c r="A74" s="12" t="s">
        <v>566</v>
      </c>
      <c r="B74" s="8" t="s">
        <v>188</v>
      </c>
      <c r="C74" s="8" t="s">
        <v>567</v>
      </c>
      <c r="D74" s="8" t="s">
        <v>568</v>
      </c>
      <c r="E74" s="8" t="s">
        <v>569</v>
      </c>
      <c r="F74" s="8" t="s">
        <v>570</v>
      </c>
      <c r="G74" s="8" t="s">
        <v>193</v>
      </c>
      <c r="H74" s="8" t="str">
        <f aca="false">IF(COUNTIF(M74:R74,"M")&gt;0,"Must Have",IF(COUNTIF(M74:R74,"S")&gt;0,"Should Have",IF(COUNTIF(M74:R74,"C")&gt;0,"Could Have",IF(COUNTA(M74:R74)&gt;0,"Stated – no priority","Aurigo-only (no RFP source)"))))</f>
        <v>Must Have</v>
      </c>
      <c r="I74" s="12" t="n">
        <f aca="false">COUNTA(M74:R74)</f>
        <v>4</v>
      </c>
      <c r="J74" s="12" t="n">
        <f aca="false">COUNTIF(M74:R74,"M")</f>
        <v>2</v>
      </c>
      <c r="K74" s="8" t="str">
        <f aca="false">IF(I74=0,"Aurigo-only",IF(I74=1,"Single source",IF(I74=2,"Two sources",IF(I74&lt;=4,"Common (3-4)","Broad (5+)"))))</f>
        <v>Common (3-4)</v>
      </c>
      <c r="L74" s="8" t="str">
        <f aca="false">IF(J74&gt;=3,"Tier 1: Must in 3+ sources",IF(J74=2,"Tier 2: Must in 2 sources",IF(J74=1,"Tier 3: Must in 1 source",IF(COUNTIF(M74:R74,"S")&gt;0,"Tier 4: Should only",IF(COUNTIF(M74:R74,"C")&gt;0,"Tier 5: Could only",IF(I74&gt;0,"Tier 6: stated, no priority","Aurigo-only"))))))</f>
        <v>Tier 2: Must in 2 sources</v>
      </c>
      <c r="M74" s="12" t="s">
        <v>194</v>
      </c>
      <c r="N74" s="12" t="s">
        <v>194</v>
      </c>
      <c r="O74" s="12" t="s">
        <v>232</v>
      </c>
      <c r="P74" s="12" t="s">
        <v>195</v>
      </c>
      <c r="Q74" s="12"/>
      <c r="R74" s="12"/>
      <c r="S74" s="8" t="s">
        <v>571</v>
      </c>
      <c r="T74" s="8"/>
      <c r="U74" s="8"/>
      <c r="V74" s="8" t="s">
        <v>197</v>
      </c>
      <c r="W74" s="8" t="s">
        <v>572</v>
      </c>
      <c r="X74" s="8"/>
      <c r="Y74" s="8"/>
      <c r="Z74" s="7" t="s">
        <v>49</v>
      </c>
      <c r="AA74" s="8" t="s">
        <v>50</v>
      </c>
      <c r="AB74" s="9" t="n">
        <v>52</v>
      </c>
      <c r="AC74" s="8" t="s">
        <v>573</v>
      </c>
    </row>
    <row r="75" customFormat="false" ht="49.5" hidden="false" customHeight="true" outlineLevel="0" collapsed="false">
      <c r="A75" s="12" t="s">
        <v>574</v>
      </c>
      <c r="B75" s="8" t="s">
        <v>188</v>
      </c>
      <c r="C75" s="8" t="s">
        <v>567</v>
      </c>
      <c r="D75" s="8" t="s">
        <v>568</v>
      </c>
      <c r="E75" s="8" t="s">
        <v>575</v>
      </c>
      <c r="F75" s="8" t="s">
        <v>576</v>
      </c>
      <c r="G75" s="8" t="s">
        <v>193</v>
      </c>
      <c r="H75" s="8" t="str">
        <f aca="false">IF(COUNTIF(M75:R75,"M")&gt;0,"Must Have",IF(COUNTIF(M75:R75,"S")&gt;0,"Should Have",IF(COUNTIF(M75:R75,"C")&gt;0,"Could Have",IF(COUNTA(M75:R75)&gt;0,"Stated – no priority","Aurigo-only (no RFP source)"))))</f>
        <v>Must Have</v>
      </c>
      <c r="I75" s="12" t="n">
        <f aca="false">COUNTA(M75:R75)</f>
        <v>2</v>
      </c>
      <c r="J75" s="12" t="n">
        <f aca="false">COUNTIF(M75:R75,"M")</f>
        <v>2</v>
      </c>
      <c r="K75" s="8" t="str">
        <f aca="false">IF(I75=0,"Aurigo-only",IF(I75=1,"Single source",IF(I75=2,"Two sources",IF(I75&lt;=4,"Common (3-4)","Broad (5+)"))))</f>
        <v>Two sources</v>
      </c>
      <c r="L75" s="8" t="str">
        <f aca="false">IF(J75&gt;=3,"Tier 1: Must in 3+ sources",IF(J75=2,"Tier 2: Must in 2 sources",IF(J75=1,"Tier 3: Must in 1 source",IF(COUNTIF(M75:R75,"S")&gt;0,"Tier 4: Should only",IF(COUNTIF(M75:R75,"C")&gt;0,"Tier 5: Could only",IF(I75&gt;0,"Tier 6: stated, no priority","Aurigo-only"))))))</f>
        <v>Tier 2: Must in 2 sources</v>
      </c>
      <c r="M75" s="12" t="s">
        <v>194</v>
      </c>
      <c r="N75" s="12" t="s">
        <v>194</v>
      </c>
      <c r="O75" s="12"/>
      <c r="P75" s="12"/>
      <c r="Q75" s="12"/>
      <c r="R75" s="12"/>
      <c r="S75" s="8" t="s">
        <v>577</v>
      </c>
      <c r="T75" s="8"/>
      <c r="U75" s="8"/>
      <c r="V75" s="8" t="s">
        <v>227</v>
      </c>
      <c r="W75" s="8" t="s">
        <v>578</v>
      </c>
      <c r="X75" s="8"/>
      <c r="Y75" s="8"/>
      <c r="Z75" s="7" t="s">
        <v>49</v>
      </c>
      <c r="AA75" s="8" t="s">
        <v>50</v>
      </c>
      <c r="AB75" s="9" t="n">
        <v>55</v>
      </c>
      <c r="AC75" s="8" t="s">
        <v>566</v>
      </c>
    </row>
    <row r="76" customFormat="false" ht="37.5" hidden="false" customHeight="true" outlineLevel="0" collapsed="false">
      <c r="A76" s="12" t="s">
        <v>579</v>
      </c>
      <c r="B76" s="8" t="s">
        <v>188</v>
      </c>
      <c r="C76" s="8" t="s">
        <v>567</v>
      </c>
      <c r="D76" s="8" t="s">
        <v>568</v>
      </c>
      <c r="E76" s="8" t="s">
        <v>580</v>
      </c>
      <c r="F76" s="8" t="s">
        <v>581</v>
      </c>
      <c r="G76" s="8" t="s">
        <v>193</v>
      </c>
      <c r="H76" s="8" t="str">
        <f aca="false">IF(COUNTIF(M76:R76,"M")&gt;0,"Must Have",IF(COUNTIF(M76:R76,"S")&gt;0,"Should Have",IF(COUNTIF(M76:R76,"C")&gt;0,"Could Have",IF(COUNTA(M76:R76)&gt;0,"Stated – no priority","Aurigo-only (no RFP source)"))))</f>
        <v>Must Have</v>
      </c>
      <c r="I76" s="12" t="n">
        <f aca="false">COUNTA(M76:R76)</f>
        <v>1</v>
      </c>
      <c r="J76" s="12" t="n">
        <f aca="false">COUNTIF(M76:R76,"M")</f>
        <v>1</v>
      </c>
      <c r="K76" s="8" t="str">
        <f aca="false">IF(I76=0,"Aurigo-only",IF(I76=1,"Single source",IF(I76=2,"Two sources",IF(I76&lt;=4,"Common (3-4)","Broad (5+)"))))</f>
        <v>Single source</v>
      </c>
      <c r="L76" s="8" t="str">
        <f aca="false">IF(J76&gt;=3,"Tier 1: Must in 3+ sources",IF(J76=2,"Tier 2: Must in 2 sources",IF(J76=1,"Tier 3: Must in 1 source",IF(COUNTIF(M76:R76,"S")&gt;0,"Tier 4: Should only",IF(COUNTIF(M76:R76,"C")&gt;0,"Tier 5: Could only",IF(I76&gt;0,"Tier 6: stated, no priority","Aurigo-only"))))))</f>
        <v>Tier 3: Must in 1 source</v>
      </c>
      <c r="M76" s="12" t="s">
        <v>194</v>
      </c>
      <c r="N76" s="12"/>
      <c r="O76" s="12"/>
      <c r="P76" s="12"/>
      <c r="Q76" s="12"/>
      <c r="R76" s="12"/>
      <c r="S76" s="8" t="s">
        <v>582</v>
      </c>
      <c r="T76" s="8" t="s">
        <v>583</v>
      </c>
      <c r="U76" s="8"/>
      <c r="V76" s="8" t="s">
        <v>204</v>
      </c>
      <c r="W76" s="8" t="s">
        <v>205</v>
      </c>
      <c r="X76" s="8"/>
      <c r="Y76" s="8"/>
      <c r="Z76" s="7" t="s">
        <v>49</v>
      </c>
      <c r="AA76" s="8" t="s">
        <v>50</v>
      </c>
      <c r="AB76" s="9" t="n">
        <v>61</v>
      </c>
      <c r="AC76" s="8" t="s">
        <v>584</v>
      </c>
    </row>
    <row r="77" customFormat="false" ht="24.75" hidden="false" customHeight="true" outlineLevel="0" collapsed="false">
      <c r="A77" s="12" t="s">
        <v>585</v>
      </c>
      <c r="B77" s="8" t="s">
        <v>188</v>
      </c>
      <c r="C77" s="8" t="s">
        <v>567</v>
      </c>
      <c r="D77" s="8" t="s">
        <v>568</v>
      </c>
      <c r="E77" s="8" t="s">
        <v>586</v>
      </c>
      <c r="F77" s="8" t="s">
        <v>587</v>
      </c>
      <c r="G77" s="8" t="s">
        <v>193</v>
      </c>
      <c r="H77" s="8" t="str">
        <f aca="false">IF(COUNTIF(M77:R77,"M")&gt;0,"Must Have",IF(COUNTIF(M77:R77,"S")&gt;0,"Should Have",IF(COUNTIF(M77:R77,"C")&gt;0,"Could Have",IF(COUNTA(M77:R77)&gt;0,"Stated – no priority","Aurigo-only (no RFP source)"))))</f>
        <v>Must Have</v>
      </c>
      <c r="I77" s="12" t="n">
        <f aca="false">COUNTA(M77:R77)</f>
        <v>1</v>
      </c>
      <c r="J77" s="12" t="n">
        <f aca="false">COUNTIF(M77:R77,"M")</f>
        <v>1</v>
      </c>
      <c r="K77" s="8" t="str">
        <f aca="false">IF(I77=0,"Aurigo-only",IF(I77=1,"Single source",IF(I77=2,"Two sources",IF(I77&lt;=4,"Common (3-4)","Broad (5+)"))))</f>
        <v>Single source</v>
      </c>
      <c r="L77" s="8" t="str">
        <f aca="false">IF(J77&gt;=3,"Tier 1: Must in 3+ sources",IF(J77=2,"Tier 2: Must in 2 sources",IF(J77=1,"Tier 3: Must in 1 source",IF(COUNTIF(M77:R77,"S")&gt;0,"Tier 4: Should only",IF(COUNTIF(M77:R77,"C")&gt;0,"Tier 5: Could only",IF(I77&gt;0,"Tier 6: stated, no priority","Aurigo-only"))))))</f>
        <v>Tier 3: Must in 1 source</v>
      </c>
      <c r="M77" s="12" t="s">
        <v>194</v>
      </c>
      <c r="N77" s="12"/>
      <c r="O77" s="12"/>
      <c r="P77" s="12"/>
      <c r="Q77" s="12"/>
      <c r="R77" s="12"/>
      <c r="S77" s="8" t="s">
        <v>588</v>
      </c>
      <c r="T77" s="8" t="s">
        <v>589</v>
      </c>
      <c r="U77" s="8"/>
      <c r="V77" s="8" t="s">
        <v>204</v>
      </c>
      <c r="W77" s="8" t="s">
        <v>205</v>
      </c>
      <c r="X77" s="8"/>
      <c r="Y77" s="8"/>
      <c r="Z77" s="7" t="s">
        <v>49</v>
      </c>
      <c r="AA77" s="8" t="s">
        <v>50</v>
      </c>
      <c r="AB77" s="9" t="n">
        <v>62</v>
      </c>
      <c r="AC77" s="8" t="s">
        <v>579</v>
      </c>
    </row>
    <row r="78" customFormat="false" ht="124.5" hidden="false" customHeight="true" outlineLevel="0" collapsed="false">
      <c r="A78" s="12" t="s">
        <v>590</v>
      </c>
      <c r="B78" s="8" t="s">
        <v>188</v>
      </c>
      <c r="C78" s="8" t="s">
        <v>567</v>
      </c>
      <c r="D78" s="8" t="s">
        <v>512</v>
      </c>
      <c r="E78" s="8" t="s">
        <v>591</v>
      </c>
      <c r="F78" s="8" t="s">
        <v>592</v>
      </c>
      <c r="G78" s="8" t="s">
        <v>193</v>
      </c>
      <c r="H78" s="8" t="str">
        <f aca="false">IF(COUNTIF(M78:R78,"M")&gt;0,"Must Have",IF(COUNTIF(M78:R78,"S")&gt;0,"Should Have",IF(COUNTIF(M78:R78,"C")&gt;0,"Could Have",IF(COUNTA(M78:R78)&gt;0,"Stated – no priority","Aurigo-only (no RFP source)"))))</f>
        <v>Must Have</v>
      </c>
      <c r="I78" s="12" t="n">
        <f aca="false">COUNTA(M78:R78)</f>
        <v>5</v>
      </c>
      <c r="J78" s="12" t="n">
        <f aca="false">COUNTIF(M78:R78,"M")</f>
        <v>3</v>
      </c>
      <c r="K78" s="8" t="str">
        <f aca="false">IF(I78=0,"Aurigo-only",IF(I78=1,"Single source",IF(I78=2,"Two sources",IF(I78&lt;=4,"Common (3-4)","Broad (5+)"))))</f>
        <v>Broad (5+)</v>
      </c>
      <c r="L78" s="8" t="str">
        <f aca="false">IF(J78&gt;=3,"Tier 1: Must in 3+ sources",IF(J78=2,"Tier 2: Must in 2 sources",IF(J78=1,"Tier 3: Must in 1 source",IF(COUNTIF(M78:R78,"S")&gt;0,"Tier 4: Should only",IF(COUNTIF(M78:R78,"C")&gt;0,"Tier 5: Could only",IF(I78&gt;0,"Tier 6: stated, no priority","Aurigo-only"))))))</f>
        <v>Tier 1: Must in 3+ sources</v>
      </c>
      <c r="M78" s="12" t="s">
        <v>194</v>
      </c>
      <c r="N78" s="12" t="s">
        <v>194</v>
      </c>
      <c r="O78" s="12" t="s">
        <v>232</v>
      </c>
      <c r="P78" s="12" t="s">
        <v>195</v>
      </c>
      <c r="Q78" s="12" t="s">
        <v>194</v>
      </c>
      <c r="R78" s="12"/>
      <c r="S78" s="8" t="s">
        <v>593</v>
      </c>
      <c r="T78" s="8" t="s">
        <v>594</v>
      </c>
      <c r="U78" s="8"/>
      <c r="V78" s="8" t="s">
        <v>197</v>
      </c>
      <c r="W78" s="8" t="s">
        <v>595</v>
      </c>
      <c r="X78" s="8"/>
      <c r="Y78" s="8"/>
      <c r="Z78" s="7" t="s">
        <v>49</v>
      </c>
      <c r="AA78" s="8" t="s">
        <v>50</v>
      </c>
      <c r="AB78" s="9" t="n">
        <v>54</v>
      </c>
      <c r="AC78" s="8" t="s">
        <v>566</v>
      </c>
    </row>
    <row r="79" customFormat="false" ht="87" hidden="false" customHeight="true" outlineLevel="0" collapsed="false">
      <c r="A79" s="12" t="s">
        <v>596</v>
      </c>
      <c r="B79" s="8" t="s">
        <v>188</v>
      </c>
      <c r="C79" s="8" t="s">
        <v>567</v>
      </c>
      <c r="D79" s="8" t="s">
        <v>512</v>
      </c>
      <c r="E79" s="8" t="s">
        <v>597</v>
      </c>
      <c r="F79" s="8" t="s">
        <v>598</v>
      </c>
      <c r="G79" s="8" t="s">
        <v>193</v>
      </c>
      <c r="H79" s="8" t="str">
        <f aca="false">IF(COUNTIF(M79:R79,"M")&gt;0,"Must Have",IF(COUNTIF(M79:R79,"S")&gt;0,"Should Have",IF(COUNTIF(M79:R79,"C")&gt;0,"Could Have",IF(COUNTA(M79:R79)&gt;0,"Stated – no priority","Aurigo-only (no RFP source)"))))</f>
        <v>Must Have</v>
      </c>
      <c r="I79" s="12" t="n">
        <f aca="false">COUNTA(M79:R79)</f>
        <v>3</v>
      </c>
      <c r="J79" s="12" t="n">
        <f aca="false">COUNTIF(M79:R79,"M")</f>
        <v>3</v>
      </c>
      <c r="K79" s="8" t="str">
        <f aca="false">IF(I79=0,"Aurigo-only",IF(I79=1,"Single source",IF(I79=2,"Two sources",IF(I79&lt;=4,"Common (3-4)","Broad (5+)"))))</f>
        <v>Common (3-4)</v>
      </c>
      <c r="L79" s="8" t="str">
        <f aca="false">IF(J79&gt;=3,"Tier 1: Must in 3+ sources",IF(J79=2,"Tier 2: Must in 2 sources",IF(J79=1,"Tier 3: Must in 1 source",IF(COUNTIF(M79:R79,"S")&gt;0,"Tier 4: Should only",IF(COUNTIF(M79:R79,"C")&gt;0,"Tier 5: Could only",IF(I79&gt;0,"Tier 6: stated, no priority","Aurigo-only"))))))</f>
        <v>Tier 1: Must in 3+ sources</v>
      </c>
      <c r="M79" s="12" t="s">
        <v>194</v>
      </c>
      <c r="N79" s="12" t="s">
        <v>194</v>
      </c>
      <c r="O79" s="12"/>
      <c r="P79" s="12"/>
      <c r="Q79" s="12" t="s">
        <v>194</v>
      </c>
      <c r="R79" s="12"/>
      <c r="S79" s="8" t="s">
        <v>599</v>
      </c>
      <c r="T79" s="8"/>
      <c r="U79" s="8"/>
      <c r="V79" s="8" t="s">
        <v>204</v>
      </c>
      <c r="W79" s="8" t="s">
        <v>205</v>
      </c>
      <c r="X79" s="8"/>
      <c r="Y79" s="8"/>
      <c r="Z79" s="7" t="s">
        <v>49</v>
      </c>
      <c r="AA79" s="8" t="s">
        <v>50</v>
      </c>
      <c r="AB79" s="9" t="n">
        <v>56</v>
      </c>
      <c r="AC79" s="8" t="s">
        <v>574</v>
      </c>
    </row>
    <row r="80" customFormat="false" ht="49.5" hidden="false" customHeight="true" outlineLevel="0" collapsed="false">
      <c r="A80" s="12" t="s">
        <v>600</v>
      </c>
      <c r="B80" s="8" t="s">
        <v>188</v>
      </c>
      <c r="C80" s="8" t="s">
        <v>567</v>
      </c>
      <c r="D80" s="8" t="s">
        <v>512</v>
      </c>
      <c r="E80" s="8" t="s">
        <v>601</v>
      </c>
      <c r="F80" s="8" t="s">
        <v>602</v>
      </c>
      <c r="G80" s="8" t="s">
        <v>193</v>
      </c>
      <c r="H80" s="8" t="str">
        <f aca="false">IF(COUNTIF(M80:R80,"M")&gt;0,"Must Have",IF(COUNTIF(M80:R80,"S")&gt;0,"Should Have",IF(COUNTIF(M80:R80,"C")&gt;0,"Could Have",IF(COUNTA(M80:R80)&gt;0,"Stated – no priority","Aurigo-only (no RFP source)"))))</f>
        <v>Must Have</v>
      </c>
      <c r="I80" s="12" t="n">
        <f aca="false">COUNTA(M80:R80)</f>
        <v>2</v>
      </c>
      <c r="J80" s="12" t="n">
        <f aca="false">COUNTIF(M80:R80,"M")</f>
        <v>2</v>
      </c>
      <c r="K80" s="8" t="str">
        <f aca="false">IF(I80=0,"Aurigo-only",IF(I80=1,"Single source",IF(I80=2,"Two sources",IF(I80&lt;=4,"Common (3-4)","Broad (5+)"))))</f>
        <v>Two sources</v>
      </c>
      <c r="L80" s="8" t="str">
        <f aca="false">IF(J80&gt;=3,"Tier 1: Must in 3+ sources",IF(J80=2,"Tier 2: Must in 2 sources",IF(J80=1,"Tier 3: Must in 1 source",IF(COUNTIF(M80:R80,"S")&gt;0,"Tier 4: Should only",IF(COUNTIF(M80:R80,"C")&gt;0,"Tier 5: Could only",IF(I80&gt;0,"Tier 6: stated, no priority","Aurigo-only"))))))</f>
        <v>Tier 2: Must in 2 sources</v>
      </c>
      <c r="M80" s="12"/>
      <c r="N80" s="12"/>
      <c r="O80" s="12"/>
      <c r="P80" s="12"/>
      <c r="Q80" s="12" t="s">
        <v>194</v>
      </c>
      <c r="R80" s="12" t="s">
        <v>194</v>
      </c>
      <c r="S80" s="8" t="s">
        <v>603</v>
      </c>
      <c r="T80" s="8"/>
      <c r="U80" s="8"/>
      <c r="V80" s="8" t="s">
        <v>204</v>
      </c>
      <c r="W80" s="8" t="s">
        <v>205</v>
      </c>
      <c r="X80" s="8"/>
      <c r="Y80" s="8"/>
      <c r="Z80" s="7" t="s">
        <v>49</v>
      </c>
      <c r="AA80" s="8" t="s">
        <v>50</v>
      </c>
      <c r="AB80" s="9" t="n">
        <v>57</v>
      </c>
      <c r="AC80" s="8" t="s">
        <v>604</v>
      </c>
    </row>
    <row r="81" customFormat="false" ht="75" hidden="false" customHeight="true" outlineLevel="0" collapsed="false">
      <c r="A81" s="12" t="s">
        <v>605</v>
      </c>
      <c r="B81" s="8" t="s">
        <v>188</v>
      </c>
      <c r="C81" s="8" t="s">
        <v>567</v>
      </c>
      <c r="D81" s="8" t="s">
        <v>512</v>
      </c>
      <c r="E81" s="8" t="s">
        <v>606</v>
      </c>
      <c r="F81" s="8" t="s">
        <v>607</v>
      </c>
      <c r="G81" s="8" t="s">
        <v>193</v>
      </c>
      <c r="H81" s="8" t="str">
        <f aca="false">IF(COUNTIF(M81:R81,"M")&gt;0,"Must Have",IF(COUNTIF(M81:R81,"S")&gt;0,"Should Have",IF(COUNTIF(M81:R81,"C")&gt;0,"Could Have",IF(COUNTA(M81:R81)&gt;0,"Stated – no priority","Aurigo-only (no RFP source)"))))</f>
        <v>Must Have</v>
      </c>
      <c r="I81" s="12" t="n">
        <f aca="false">COUNTA(M81:R81)</f>
        <v>3</v>
      </c>
      <c r="J81" s="12" t="n">
        <f aca="false">COUNTIF(M81:R81,"M")</f>
        <v>2</v>
      </c>
      <c r="K81" s="8" t="str">
        <f aca="false">IF(I81=0,"Aurigo-only",IF(I81=1,"Single source",IF(I81=2,"Two sources",IF(I81&lt;=4,"Common (3-4)","Broad (5+)"))))</f>
        <v>Common (3-4)</v>
      </c>
      <c r="L81" s="8" t="str">
        <f aca="false">IF(J81&gt;=3,"Tier 1: Must in 3+ sources",IF(J81=2,"Tier 2: Must in 2 sources",IF(J81=1,"Tier 3: Must in 1 source",IF(COUNTIF(M81:R81,"S")&gt;0,"Tier 4: Should only",IF(COUNTIF(M81:R81,"C")&gt;0,"Tier 5: Could only",IF(I81&gt;0,"Tier 6: stated, no priority","Aurigo-only"))))))</f>
        <v>Tier 2: Must in 2 sources</v>
      </c>
      <c r="M81" s="12"/>
      <c r="N81" s="12"/>
      <c r="O81" s="12"/>
      <c r="P81" s="12" t="s">
        <v>195</v>
      </c>
      <c r="Q81" s="12" t="s">
        <v>194</v>
      </c>
      <c r="R81" s="12" t="s">
        <v>194</v>
      </c>
      <c r="S81" s="8" t="s">
        <v>608</v>
      </c>
      <c r="T81" s="8"/>
      <c r="U81" s="8"/>
      <c r="V81" s="8" t="s">
        <v>197</v>
      </c>
      <c r="W81" s="8" t="s">
        <v>609</v>
      </c>
      <c r="X81" s="8"/>
      <c r="Y81" s="8"/>
      <c r="Z81" s="7" t="s">
        <v>67</v>
      </c>
      <c r="AA81" s="8" t="s">
        <v>68</v>
      </c>
      <c r="AB81" s="9" t="n">
        <v>143</v>
      </c>
      <c r="AC81" s="8" t="s">
        <v>610</v>
      </c>
    </row>
    <row r="82" customFormat="false" ht="24.75" hidden="false" customHeight="true" outlineLevel="0" collapsed="false">
      <c r="A82" s="12" t="s">
        <v>611</v>
      </c>
      <c r="B82" s="8" t="s">
        <v>188</v>
      </c>
      <c r="C82" s="8" t="s">
        <v>567</v>
      </c>
      <c r="D82" s="8" t="s">
        <v>512</v>
      </c>
      <c r="E82" s="8" t="s">
        <v>612</v>
      </c>
      <c r="F82" s="8" t="s">
        <v>613</v>
      </c>
      <c r="G82" s="8" t="s">
        <v>409</v>
      </c>
      <c r="H82" s="8" t="str">
        <f aca="false">IF(COUNTIF(M82:R82,"M")&gt;0,"Must Have",IF(COUNTIF(M82:R82,"S")&gt;0,"Should Have",IF(COUNTIF(M82:R82,"C")&gt;0,"Could Have",IF(COUNTA(M82:R82)&gt;0,"Stated – no priority","Aurigo-only (no RFP source)"))))</f>
        <v>Must Have</v>
      </c>
      <c r="I82" s="12" t="n">
        <f aca="false">COUNTA(M82:R82)</f>
        <v>1</v>
      </c>
      <c r="J82" s="12" t="n">
        <f aca="false">COUNTIF(M82:R82,"M")</f>
        <v>1</v>
      </c>
      <c r="K82" s="8" t="str">
        <f aca="false">IF(I82=0,"Aurigo-only",IF(I82=1,"Single source",IF(I82=2,"Two sources",IF(I82&lt;=4,"Common (3-4)","Broad (5+)"))))</f>
        <v>Single source</v>
      </c>
      <c r="L82" s="8" t="str">
        <f aca="false">IF(J82&gt;=3,"Tier 1: Must in 3+ sources",IF(J82=2,"Tier 2: Must in 2 sources",IF(J82=1,"Tier 3: Must in 1 source",IF(COUNTIF(M82:R82,"S")&gt;0,"Tier 4: Should only",IF(COUNTIF(M82:R82,"C")&gt;0,"Tier 5: Could only",IF(I82&gt;0,"Tier 6: stated, no priority","Aurigo-only"))))))</f>
        <v>Tier 3: Must in 1 source</v>
      </c>
      <c r="M82" s="12" t="s">
        <v>194</v>
      </c>
      <c r="N82" s="12"/>
      <c r="O82" s="12"/>
      <c r="P82" s="12"/>
      <c r="Q82" s="12"/>
      <c r="R82" s="12"/>
      <c r="S82" s="8" t="s">
        <v>614</v>
      </c>
      <c r="T82" s="8" t="s">
        <v>615</v>
      </c>
      <c r="U82" s="8"/>
      <c r="V82" s="8" t="s">
        <v>204</v>
      </c>
      <c r="W82" s="8" t="s">
        <v>205</v>
      </c>
      <c r="X82" s="8"/>
      <c r="Y82" s="8"/>
      <c r="Z82" s="7" t="s">
        <v>49</v>
      </c>
      <c r="AA82" s="8" t="s">
        <v>50</v>
      </c>
      <c r="AB82" s="9" t="n">
        <v>65</v>
      </c>
      <c r="AC82" s="8" t="s">
        <v>616</v>
      </c>
    </row>
    <row r="83" customFormat="false" ht="24.75" hidden="false" customHeight="true" outlineLevel="0" collapsed="false">
      <c r="A83" s="12" t="s">
        <v>617</v>
      </c>
      <c r="B83" s="8" t="s">
        <v>188</v>
      </c>
      <c r="C83" s="8" t="s">
        <v>567</v>
      </c>
      <c r="D83" s="8" t="s">
        <v>512</v>
      </c>
      <c r="E83" s="8" t="s">
        <v>618</v>
      </c>
      <c r="F83" s="8" t="s">
        <v>619</v>
      </c>
      <c r="G83" s="8" t="s">
        <v>193</v>
      </c>
      <c r="H83" s="8" t="str">
        <f aca="false">IF(COUNTIF(M83:R83,"M")&gt;0,"Must Have",IF(COUNTIF(M83:R83,"S")&gt;0,"Should Have",IF(COUNTIF(M83:R83,"C")&gt;0,"Could Have",IF(COUNTA(M83:R83)&gt;0,"Stated – no priority","Aurigo-only (no RFP source)"))))</f>
        <v>Must Have</v>
      </c>
      <c r="I83" s="12" t="n">
        <f aca="false">COUNTA(M83:R83)</f>
        <v>1</v>
      </c>
      <c r="J83" s="12" t="n">
        <f aca="false">COUNTIF(M83:R83,"M")</f>
        <v>1</v>
      </c>
      <c r="K83" s="8" t="str">
        <f aca="false">IF(I83=0,"Aurigo-only",IF(I83=1,"Single source",IF(I83=2,"Two sources",IF(I83&lt;=4,"Common (3-4)","Broad (5+)"))))</f>
        <v>Single source</v>
      </c>
      <c r="L83" s="8" t="str">
        <f aca="false">IF(J83&gt;=3,"Tier 1: Must in 3+ sources",IF(J83=2,"Tier 2: Must in 2 sources",IF(J83=1,"Tier 3: Must in 1 source",IF(COUNTIF(M83:R83,"S")&gt;0,"Tier 4: Should only",IF(COUNTIF(M83:R83,"C")&gt;0,"Tier 5: Could only",IF(I83&gt;0,"Tier 6: stated, no priority","Aurigo-only"))))))</f>
        <v>Tier 3: Must in 1 source</v>
      </c>
      <c r="M83" s="12"/>
      <c r="N83" s="12"/>
      <c r="O83" s="12"/>
      <c r="P83" s="12"/>
      <c r="Q83" s="12"/>
      <c r="R83" s="12" t="s">
        <v>194</v>
      </c>
      <c r="S83" s="8" t="s">
        <v>620</v>
      </c>
      <c r="T83" s="8"/>
      <c r="U83" s="8"/>
      <c r="V83" s="8" t="s">
        <v>204</v>
      </c>
      <c r="W83" s="8" t="s">
        <v>205</v>
      </c>
      <c r="X83" s="8"/>
      <c r="Y83" s="8"/>
      <c r="Z83" s="7" t="s">
        <v>49</v>
      </c>
      <c r="AA83" s="8" t="s">
        <v>50</v>
      </c>
      <c r="AB83" s="9" t="n">
        <v>50</v>
      </c>
      <c r="AC83" s="8" t="s">
        <v>621</v>
      </c>
    </row>
    <row r="84" customFormat="false" ht="24.75" hidden="false" customHeight="true" outlineLevel="0" collapsed="false">
      <c r="A84" s="12" t="s">
        <v>622</v>
      </c>
      <c r="B84" s="8" t="s">
        <v>188</v>
      </c>
      <c r="C84" s="8" t="s">
        <v>567</v>
      </c>
      <c r="D84" s="8" t="s">
        <v>512</v>
      </c>
      <c r="E84" s="8" t="s">
        <v>623</v>
      </c>
      <c r="F84" s="8" t="s">
        <v>624</v>
      </c>
      <c r="G84" s="8" t="s">
        <v>193</v>
      </c>
      <c r="H84" s="8" t="str">
        <f aca="false">IF(COUNTIF(M84:R84,"M")&gt;0,"Must Have",IF(COUNTIF(M84:R84,"S")&gt;0,"Should Have",IF(COUNTIF(M84:R84,"C")&gt;0,"Could Have",IF(COUNTA(M84:R84)&gt;0,"Stated – no priority","Aurigo-only (no RFP source)"))))</f>
        <v>Must Have</v>
      </c>
      <c r="I84" s="12" t="n">
        <f aca="false">COUNTA(M84:R84)</f>
        <v>1</v>
      </c>
      <c r="J84" s="12" t="n">
        <f aca="false">COUNTIF(M84:R84,"M")</f>
        <v>1</v>
      </c>
      <c r="K84" s="8" t="str">
        <f aca="false">IF(I84=0,"Aurigo-only",IF(I84=1,"Single source",IF(I84=2,"Two sources",IF(I84&lt;=4,"Common (3-4)","Broad (5+)"))))</f>
        <v>Single source</v>
      </c>
      <c r="L84" s="8" t="str">
        <f aca="false">IF(J84&gt;=3,"Tier 1: Must in 3+ sources",IF(J84=2,"Tier 2: Must in 2 sources",IF(J84=1,"Tier 3: Must in 1 source",IF(COUNTIF(M84:R84,"S")&gt;0,"Tier 4: Should only",IF(COUNTIF(M84:R84,"C")&gt;0,"Tier 5: Could only",IF(I84&gt;0,"Tier 6: stated, no priority","Aurigo-only"))))))</f>
        <v>Tier 3: Must in 1 source</v>
      </c>
      <c r="M84" s="12"/>
      <c r="N84" s="12"/>
      <c r="O84" s="12"/>
      <c r="P84" s="12"/>
      <c r="Q84" s="12"/>
      <c r="R84" s="12" t="s">
        <v>194</v>
      </c>
      <c r="S84" s="8" t="s">
        <v>625</v>
      </c>
      <c r="T84" s="8"/>
      <c r="U84" s="8"/>
      <c r="V84" s="8" t="s">
        <v>204</v>
      </c>
      <c r="W84" s="8" t="s">
        <v>205</v>
      </c>
      <c r="X84" s="8"/>
      <c r="Y84" s="8"/>
      <c r="Z84" s="7" t="s">
        <v>67</v>
      </c>
      <c r="AA84" s="8" t="s">
        <v>68</v>
      </c>
      <c r="AB84" s="9" t="n">
        <v>145</v>
      </c>
      <c r="AC84" s="8" t="s">
        <v>626</v>
      </c>
    </row>
    <row r="85" customFormat="false" ht="37.5" hidden="false" customHeight="true" outlineLevel="0" collapsed="false">
      <c r="A85" s="12" t="s">
        <v>627</v>
      </c>
      <c r="B85" s="8" t="s">
        <v>188</v>
      </c>
      <c r="C85" s="8" t="s">
        <v>567</v>
      </c>
      <c r="D85" s="8" t="s">
        <v>628</v>
      </c>
      <c r="E85" s="8" t="s">
        <v>629</v>
      </c>
      <c r="F85" s="8" t="s">
        <v>630</v>
      </c>
      <c r="G85" s="8" t="s">
        <v>193</v>
      </c>
      <c r="H85" s="8" t="str">
        <f aca="false">IF(COUNTIF(M85:R85,"M")&gt;0,"Must Have",IF(COUNTIF(M85:R85,"S")&gt;0,"Should Have",IF(COUNTIF(M85:R85,"C")&gt;0,"Could Have",IF(COUNTA(M85:R85)&gt;0,"Stated – no priority","Aurigo-only (no RFP source)"))))</f>
        <v>Should Have</v>
      </c>
      <c r="I85" s="12" t="n">
        <f aca="false">COUNTA(M85:R85)</f>
        <v>1</v>
      </c>
      <c r="J85" s="12" t="n">
        <f aca="false">COUNTIF(M85:R85,"M")</f>
        <v>0</v>
      </c>
      <c r="K85" s="8" t="str">
        <f aca="false">IF(I85=0,"Aurigo-only",IF(I85=1,"Single source",IF(I85=2,"Two sources",IF(I85&lt;=4,"Common (3-4)","Broad (5+)"))))</f>
        <v>Single source</v>
      </c>
      <c r="L85" s="8" t="str">
        <f aca="false">IF(J85&gt;=3,"Tier 1: Must in 3+ sources",IF(J85=2,"Tier 2: Must in 2 sources",IF(J85=1,"Tier 3: Must in 1 source",IF(COUNTIF(M85:R85,"S")&gt;0,"Tier 4: Should only",IF(COUNTIF(M85:R85,"C")&gt;0,"Tier 5: Could only",IF(I85&gt;0,"Tier 6: stated, no priority","Aurigo-only"))))))</f>
        <v>Tier 4: Should only</v>
      </c>
      <c r="M85" s="12" t="s">
        <v>232</v>
      </c>
      <c r="N85" s="12"/>
      <c r="O85" s="12"/>
      <c r="P85" s="12"/>
      <c r="Q85" s="12"/>
      <c r="R85" s="12"/>
      <c r="S85" s="8" t="s">
        <v>631</v>
      </c>
      <c r="T85" s="8"/>
      <c r="U85" s="8"/>
      <c r="V85" s="8" t="s">
        <v>204</v>
      </c>
      <c r="W85" s="8" t="s">
        <v>205</v>
      </c>
      <c r="X85" s="8" t="s">
        <v>632</v>
      </c>
      <c r="Y85" s="8"/>
      <c r="Z85" s="7" t="s">
        <v>108</v>
      </c>
      <c r="AA85" s="8" t="s">
        <v>109</v>
      </c>
      <c r="AB85" s="9" t="n">
        <v>251</v>
      </c>
      <c r="AC85" s="8" t="s">
        <v>633</v>
      </c>
    </row>
    <row r="86" customFormat="false" ht="24.75" hidden="false" customHeight="true" outlineLevel="0" collapsed="false">
      <c r="A86" s="12" t="s">
        <v>634</v>
      </c>
      <c r="B86" s="8" t="s">
        <v>188</v>
      </c>
      <c r="C86" s="8" t="s">
        <v>567</v>
      </c>
      <c r="D86" s="8" t="s">
        <v>628</v>
      </c>
      <c r="E86" s="8" t="s">
        <v>635</v>
      </c>
      <c r="F86" s="8" t="s">
        <v>636</v>
      </c>
      <c r="G86" s="8" t="s">
        <v>193</v>
      </c>
      <c r="H86" s="8" t="str">
        <f aca="false">IF(COUNTIF(M86:R86,"M")&gt;0,"Must Have",IF(COUNTIF(M86:R86,"S")&gt;0,"Should Have",IF(COUNTIF(M86:R86,"C")&gt;0,"Could Have",IF(COUNTA(M86:R86)&gt;0,"Stated – no priority","Aurigo-only (no RFP source)"))))</f>
        <v>Must Have</v>
      </c>
      <c r="I86" s="12" t="n">
        <f aca="false">COUNTA(M86:R86)</f>
        <v>1</v>
      </c>
      <c r="J86" s="12" t="n">
        <f aca="false">COUNTIF(M86:R86,"M")</f>
        <v>1</v>
      </c>
      <c r="K86" s="8" t="str">
        <f aca="false">IF(I86=0,"Aurigo-only",IF(I86=1,"Single source",IF(I86=2,"Two sources",IF(I86&lt;=4,"Common (3-4)","Broad (5+)"))))</f>
        <v>Single source</v>
      </c>
      <c r="L86" s="8" t="str">
        <f aca="false">IF(J86&gt;=3,"Tier 1: Must in 3+ sources",IF(J86=2,"Tier 2: Must in 2 sources",IF(J86=1,"Tier 3: Must in 1 source",IF(COUNTIF(M86:R86,"S")&gt;0,"Tier 4: Should only",IF(COUNTIF(M86:R86,"C")&gt;0,"Tier 5: Could only",IF(I86&gt;0,"Tier 6: stated, no priority","Aurigo-only"))))))</f>
        <v>Tier 3: Must in 1 source</v>
      </c>
      <c r="M86" s="12" t="s">
        <v>194</v>
      </c>
      <c r="N86" s="12"/>
      <c r="O86" s="12"/>
      <c r="P86" s="12"/>
      <c r="Q86" s="12"/>
      <c r="R86" s="12"/>
      <c r="S86" s="8" t="s">
        <v>637</v>
      </c>
      <c r="T86" s="8"/>
      <c r="U86" s="8"/>
      <c r="V86" s="8" t="s">
        <v>204</v>
      </c>
      <c r="W86" s="8" t="s">
        <v>205</v>
      </c>
      <c r="X86" s="8"/>
      <c r="Y86" s="8"/>
      <c r="Z86" s="7" t="s">
        <v>111</v>
      </c>
      <c r="AA86" s="8" t="s">
        <v>112</v>
      </c>
      <c r="AB86" s="9" t="n">
        <v>260</v>
      </c>
      <c r="AC86" s="8" t="s">
        <v>638</v>
      </c>
    </row>
    <row r="87" customFormat="false" ht="37.5" hidden="false" customHeight="true" outlineLevel="0" collapsed="false">
      <c r="A87" s="12" t="s">
        <v>639</v>
      </c>
      <c r="B87" s="8" t="s">
        <v>188</v>
      </c>
      <c r="C87" s="8" t="s">
        <v>567</v>
      </c>
      <c r="D87" s="8" t="s">
        <v>397</v>
      </c>
      <c r="E87" s="8" t="s">
        <v>640</v>
      </c>
      <c r="F87" s="8" t="s">
        <v>641</v>
      </c>
      <c r="G87" s="8" t="s">
        <v>193</v>
      </c>
      <c r="H87" s="8" t="str">
        <f aca="false">IF(COUNTIF(M87:R87,"M")&gt;0,"Must Have",IF(COUNTIF(M87:R87,"S")&gt;0,"Should Have",IF(COUNTIF(M87:R87,"C")&gt;0,"Could Have",IF(COUNTA(M87:R87)&gt;0,"Stated – no priority","Aurigo-only (no RFP source)"))))</f>
        <v>Must Have</v>
      </c>
      <c r="I87" s="12" t="n">
        <f aca="false">COUNTA(M87:R87)</f>
        <v>2</v>
      </c>
      <c r="J87" s="12" t="n">
        <f aca="false">COUNTIF(M87:R87,"M")</f>
        <v>2</v>
      </c>
      <c r="K87" s="8" t="str">
        <f aca="false">IF(I87=0,"Aurigo-only",IF(I87=1,"Single source",IF(I87=2,"Two sources",IF(I87&lt;=4,"Common (3-4)","Broad (5+)"))))</f>
        <v>Two sources</v>
      </c>
      <c r="L87" s="8" t="str">
        <f aca="false">IF(J87&gt;=3,"Tier 1: Must in 3+ sources",IF(J87=2,"Tier 2: Must in 2 sources",IF(J87=1,"Tier 3: Must in 1 source",IF(COUNTIF(M87:R87,"S")&gt;0,"Tier 4: Should only",IF(COUNTIF(M87:R87,"C")&gt;0,"Tier 5: Could only",IF(I87&gt;0,"Tier 6: stated, no priority","Aurigo-only"))))))</f>
        <v>Tier 2: Must in 2 sources</v>
      </c>
      <c r="M87" s="12" t="s">
        <v>194</v>
      </c>
      <c r="N87" s="12"/>
      <c r="O87" s="12" t="s">
        <v>194</v>
      </c>
      <c r="P87" s="12"/>
      <c r="Q87" s="12"/>
      <c r="R87" s="12"/>
      <c r="S87" s="8" t="s">
        <v>642</v>
      </c>
      <c r="T87" s="8"/>
      <c r="U87" s="8"/>
      <c r="V87" s="8" t="s">
        <v>204</v>
      </c>
      <c r="W87" s="8" t="s">
        <v>205</v>
      </c>
      <c r="X87" s="8"/>
      <c r="Y87" s="8"/>
      <c r="Z87" s="7" t="s">
        <v>34</v>
      </c>
      <c r="AA87" s="8" t="s">
        <v>35</v>
      </c>
      <c r="AB87" s="9" t="n">
        <v>4</v>
      </c>
      <c r="AC87" s="8" t="s">
        <v>643</v>
      </c>
    </row>
    <row r="88" customFormat="false" ht="87" hidden="false" customHeight="true" outlineLevel="0" collapsed="false">
      <c r="A88" s="12" t="s">
        <v>644</v>
      </c>
      <c r="B88" s="8" t="s">
        <v>188</v>
      </c>
      <c r="C88" s="8" t="s">
        <v>645</v>
      </c>
      <c r="D88" s="8" t="s">
        <v>646</v>
      </c>
      <c r="E88" s="8" t="s">
        <v>647</v>
      </c>
      <c r="F88" s="8" t="s">
        <v>648</v>
      </c>
      <c r="G88" s="8" t="s">
        <v>193</v>
      </c>
      <c r="H88" s="8" t="str">
        <f aca="false">IF(COUNTIF(M88:R88,"M")&gt;0,"Must Have",IF(COUNTIF(M88:R88,"S")&gt;0,"Should Have",IF(COUNTIF(M88:R88,"C")&gt;0,"Could Have",IF(COUNTA(M88:R88)&gt;0,"Stated – no priority","Aurigo-only (no RFP source)"))))</f>
        <v>Must Have</v>
      </c>
      <c r="I88" s="12" t="n">
        <f aca="false">COUNTA(M88:R88)</f>
        <v>4</v>
      </c>
      <c r="J88" s="12" t="n">
        <f aca="false">COUNTIF(M88:R88,"M")</f>
        <v>3</v>
      </c>
      <c r="K88" s="8" t="str">
        <f aca="false">IF(I88=0,"Aurigo-only",IF(I88=1,"Single source",IF(I88=2,"Two sources",IF(I88&lt;=4,"Common (3-4)","Broad (5+)"))))</f>
        <v>Common (3-4)</v>
      </c>
      <c r="L88" s="8" t="str">
        <f aca="false">IF(J88&gt;=3,"Tier 1: Must in 3+ sources",IF(J88=2,"Tier 2: Must in 2 sources",IF(J88=1,"Tier 3: Must in 1 source",IF(COUNTIF(M88:R88,"S")&gt;0,"Tier 4: Should only",IF(COUNTIF(M88:R88,"C")&gt;0,"Tier 5: Could only",IF(I88&gt;0,"Tier 6: stated, no priority","Aurigo-only"))))))</f>
        <v>Tier 1: Must in 3+ sources</v>
      </c>
      <c r="M88" s="12" t="s">
        <v>194</v>
      </c>
      <c r="N88" s="12" t="s">
        <v>194</v>
      </c>
      <c r="O88" s="12"/>
      <c r="P88" s="12" t="s">
        <v>195</v>
      </c>
      <c r="Q88" s="12" t="s">
        <v>194</v>
      </c>
      <c r="R88" s="12"/>
      <c r="S88" s="8" t="s">
        <v>649</v>
      </c>
      <c r="T88" s="8" t="s">
        <v>650</v>
      </c>
      <c r="U88" s="8"/>
      <c r="V88" s="8" t="s">
        <v>197</v>
      </c>
      <c r="W88" s="8" t="s">
        <v>651</v>
      </c>
      <c r="X88" s="8"/>
      <c r="Y88" s="8"/>
      <c r="Z88" s="7" t="s">
        <v>86</v>
      </c>
      <c r="AA88" s="8" t="s">
        <v>87</v>
      </c>
      <c r="AB88" s="9" t="n">
        <v>194</v>
      </c>
      <c r="AC88" s="8" t="s">
        <v>610</v>
      </c>
    </row>
    <row r="89" customFormat="false" ht="37.5" hidden="false" customHeight="true" outlineLevel="0" collapsed="false">
      <c r="A89" s="12" t="s">
        <v>652</v>
      </c>
      <c r="B89" s="8" t="s">
        <v>188</v>
      </c>
      <c r="C89" s="8" t="s">
        <v>645</v>
      </c>
      <c r="D89" s="8" t="s">
        <v>646</v>
      </c>
      <c r="E89" s="8" t="s">
        <v>653</v>
      </c>
      <c r="F89" s="8" t="s">
        <v>654</v>
      </c>
      <c r="G89" s="8" t="s">
        <v>193</v>
      </c>
      <c r="H89" s="8" t="str">
        <f aca="false">IF(COUNTIF(M89:R89,"M")&gt;0,"Must Have",IF(COUNTIF(M89:R89,"S")&gt;0,"Should Have",IF(COUNTIF(M89:R89,"C")&gt;0,"Could Have",IF(COUNTA(M89:R89)&gt;0,"Stated – no priority","Aurigo-only (no RFP source)"))))</f>
        <v>Must Have</v>
      </c>
      <c r="I89" s="12" t="n">
        <f aca="false">COUNTA(M89:R89)</f>
        <v>1</v>
      </c>
      <c r="J89" s="12" t="n">
        <f aca="false">COUNTIF(M89:R89,"M")</f>
        <v>1</v>
      </c>
      <c r="K89" s="8" t="str">
        <f aca="false">IF(I89=0,"Aurigo-only",IF(I89=1,"Single source",IF(I89=2,"Two sources",IF(I89&lt;=4,"Common (3-4)","Broad (5+)"))))</f>
        <v>Single source</v>
      </c>
      <c r="L89" s="8" t="str">
        <f aca="false">IF(J89&gt;=3,"Tier 1: Must in 3+ sources",IF(J89=2,"Tier 2: Must in 2 sources",IF(J89=1,"Tier 3: Must in 1 source",IF(COUNTIF(M89:R89,"S")&gt;0,"Tier 4: Should only",IF(COUNTIF(M89:R89,"C")&gt;0,"Tier 5: Could only",IF(I89&gt;0,"Tier 6: stated, no priority","Aurigo-only"))))))</f>
        <v>Tier 3: Must in 1 source</v>
      </c>
      <c r="M89" s="12"/>
      <c r="N89" s="12" t="s">
        <v>194</v>
      </c>
      <c r="O89" s="12"/>
      <c r="P89" s="12"/>
      <c r="Q89" s="12"/>
      <c r="R89" s="12"/>
      <c r="S89" s="8" t="s">
        <v>655</v>
      </c>
      <c r="T89" s="8"/>
      <c r="U89" s="8"/>
      <c r="V89" s="8" t="s">
        <v>197</v>
      </c>
      <c r="W89" s="8" t="s">
        <v>656</v>
      </c>
      <c r="X89" s="8"/>
      <c r="Y89" s="8"/>
      <c r="Z89" s="7" t="s">
        <v>86</v>
      </c>
      <c r="AA89" s="8" t="s">
        <v>87</v>
      </c>
      <c r="AB89" s="9" t="n">
        <v>199</v>
      </c>
      <c r="AC89" s="8" t="s">
        <v>644</v>
      </c>
    </row>
    <row r="90" customFormat="false" ht="62.25" hidden="false" customHeight="true" outlineLevel="0" collapsed="false">
      <c r="A90" s="12" t="s">
        <v>657</v>
      </c>
      <c r="B90" s="8" t="s">
        <v>188</v>
      </c>
      <c r="C90" s="8" t="s">
        <v>645</v>
      </c>
      <c r="D90" s="8" t="s">
        <v>658</v>
      </c>
      <c r="E90" s="8" t="s">
        <v>659</v>
      </c>
      <c r="F90" s="8" t="s">
        <v>660</v>
      </c>
      <c r="G90" s="8" t="s">
        <v>193</v>
      </c>
      <c r="H90" s="8" t="str">
        <f aca="false">IF(COUNTIF(M90:R90,"M")&gt;0,"Must Have",IF(COUNTIF(M90:R90,"S")&gt;0,"Should Have",IF(COUNTIF(M90:R90,"C")&gt;0,"Could Have",IF(COUNTA(M90:R90)&gt;0,"Stated – no priority","Aurigo-only (no RFP source)"))))</f>
        <v>Must Have</v>
      </c>
      <c r="I90" s="12" t="n">
        <f aca="false">COUNTA(M90:R90)</f>
        <v>3</v>
      </c>
      <c r="J90" s="12" t="n">
        <f aca="false">COUNTIF(M90:R90,"M")</f>
        <v>2</v>
      </c>
      <c r="K90" s="8" t="str">
        <f aca="false">IF(I90=0,"Aurigo-only",IF(I90=1,"Single source",IF(I90=2,"Two sources",IF(I90&lt;=4,"Common (3-4)","Broad (5+)"))))</f>
        <v>Common (3-4)</v>
      </c>
      <c r="L90" s="8" t="str">
        <f aca="false">IF(J90&gt;=3,"Tier 1: Must in 3+ sources",IF(J90=2,"Tier 2: Must in 2 sources",IF(J90=1,"Tier 3: Must in 1 source",IF(COUNTIF(M90:R90,"S")&gt;0,"Tier 4: Should only",IF(COUNTIF(M90:R90,"C")&gt;0,"Tier 5: Could only",IF(I90&gt;0,"Tier 6: stated, no priority","Aurigo-only"))))))</f>
        <v>Tier 2: Must in 2 sources</v>
      </c>
      <c r="M90" s="12" t="s">
        <v>194</v>
      </c>
      <c r="N90" s="12" t="s">
        <v>194</v>
      </c>
      <c r="O90" s="12"/>
      <c r="P90" s="12" t="s">
        <v>195</v>
      </c>
      <c r="Q90" s="12"/>
      <c r="R90" s="12"/>
      <c r="S90" s="8" t="s">
        <v>661</v>
      </c>
      <c r="T90" s="8" t="s">
        <v>589</v>
      </c>
      <c r="U90" s="8"/>
      <c r="V90" s="8" t="s">
        <v>227</v>
      </c>
      <c r="W90" s="8" t="s">
        <v>662</v>
      </c>
      <c r="X90" s="8"/>
      <c r="Y90" s="8"/>
      <c r="Z90" s="7" t="s">
        <v>89</v>
      </c>
      <c r="AA90" s="8" t="s">
        <v>90</v>
      </c>
      <c r="AB90" s="9" t="n">
        <v>205</v>
      </c>
      <c r="AC90" s="8" t="s">
        <v>652</v>
      </c>
    </row>
    <row r="91" customFormat="false" ht="24.75" hidden="false" customHeight="true" outlineLevel="0" collapsed="false">
      <c r="A91" s="12" t="s">
        <v>663</v>
      </c>
      <c r="B91" s="8" t="s">
        <v>188</v>
      </c>
      <c r="C91" s="8" t="s">
        <v>645</v>
      </c>
      <c r="D91" s="8" t="s">
        <v>658</v>
      </c>
      <c r="E91" s="8" t="s">
        <v>664</v>
      </c>
      <c r="F91" s="8" t="s">
        <v>665</v>
      </c>
      <c r="G91" s="8" t="s">
        <v>193</v>
      </c>
      <c r="H91" s="8" t="str">
        <f aca="false">IF(COUNTIF(M91:R91,"M")&gt;0,"Must Have",IF(COUNTIF(M91:R91,"S")&gt;0,"Should Have",IF(COUNTIF(M91:R91,"C")&gt;0,"Could Have",IF(COUNTA(M91:R91)&gt;0,"Stated – no priority","Aurigo-only (no RFP source)"))))</f>
        <v>Must Have</v>
      </c>
      <c r="I91" s="12" t="n">
        <f aca="false">COUNTA(M91:R91)</f>
        <v>1</v>
      </c>
      <c r="J91" s="12" t="n">
        <f aca="false">COUNTIF(M91:R91,"M")</f>
        <v>1</v>
      </c>
      <c r="K91" s="8" t="str">
        <f aca="false">IF(I91=0,"Aurigo-only",IF(I91=1,"Single source",IF(I91=2,"Two sources",IF(I91&lt;=4,"Common (3-4)","Broad (5+)"))))</f>
        <v>Single source</v>
      </c>
      <c r="L91" s="8" t="str">
        <f aca="false">IF(J91&gt;=3,"Tier 1: Must in 3+ sources",IF(J91=2,"Tier 2: Must in 2 sources",IF(J91=1,"Tier 3: Must in 1 source",IF(COUNTIF(M91:R91,"S")&gt;0,"Tier 4: Should only",IF(COUNTIF(M91:R91,"C")&gt;0,"Tier 5: Could only",IF(I91&gt;0,"Tier 6: stated, no priority","Aurigo-only"))))))</f>
        <v>Tier 3: Must in 1 source</v>
      </c>
      <c r="M91" s="12"/>
      <c r="N91" s="12" t="s">
        <v>194</v>
      </c>
      <c r="O91" s="12"/>
      <c r="P91" s="12"/>
      <c r="Q91" s="12"/>
      <c r="R91" s="12"/>
      <c r="S91" s="8" t="s">
        <v>666</v>
      </c>
      <c r="T91" s="8"/>
      <c r="U91" s="8"/>
      <c r="V91" s="8" t="s">
        <v>204</v>
      </c>
      <c r="W91" s="8" t="s">
        <v>205</v>
      </c>
      <c r="X91" s="8"/>
      <c r="Y91" s="8"/>
      <c r="Z91" s="7" t="s">
        <v>89</v>
      </c>
      <c r="AA91" s="8" t="s">
        <v>90</v>
      </c>
      <c r="AB91" s="9" t="n">
        <v>207</v>
      </c>
      <c r="AC91" s="8" t="s">
        <v>667</v>
      </c>
    </row>
    <row r="92" customFormat="false" ht="24.75" hidden="false" customHeight="true" outlineLevel="0" collapsed="false">
      <c r="A92" s="12" t="s">
        <v>668</v>
      </c>
      <c r="B92" s="8" t="s">
        <v>188</v>
      </c>
      <c r="C92" s="8" t="s">
        <v>645</v>
      </c>
      <c r="D92" s="8" t="s">
        <v>658</v>
      </c>
      <c r="E92" s="8" t="s">
        <v>669</v>
      </c>
      <c r="F92" s="8" t="s">
        <v>670</v>
      </c>
      <c r="G92" s="8" t="s">
        <v>193</v>
      </c>
      <c r="H92" s="8" t="str">
        <f aca="false">IF(COUNTIF(M92:R92,"M")&gt;0,"Must Have",IF(COUNTIF(M92:R92,"S")&gt;0,"Should Have",IF(COUNTIF(M92:R92,"C")&gt;0,"Could Have",IF(COUNTA(M92:R92)&gt;0,"Stated – no priority","Aurigo-only (no RFP source)"))))</f>
        <v>Must Have</v>
      </c>
      <c r="I92" s="12" t="n">
        <f aca="false">COUNTA(M92:R92)</f>
        <v>1</v>
      </c>
      <c r="J92" s="12" t="n">
        <f aca="false">COUNTIF(M92:R92,"M")</f>
        <v>1</v>
      </c>
      <c r="K92" s="8" t="str">
        <f aca="false">IF(I92=0,"Aurigo-only",IF(I92=1,"Single source",IF(I92=2,"Two sources",IF(I92&lt;=4,"Common (3-4)","Broad (5+)"))))</f>
        <v>Single source</v>
      </c>
      <c r="L92" s="8" t="str">
        <f aca="false">IF(J92&gt;=3,"Tier 1: Must in 3+ sources",IF(J92=2,"Tier 2: Must in 2 sources",IF(J92=1,"Tier 3: Must in 1 source",IF(COUNTIF(M92:R92,"S")&gt;0,"Tier 4: Should only",IF(COUNTIF(M92:R92,"C")&gt;0,"Tier 5: Could only",IF(I92&gt;0,"Tier 6: stated, no priority","Aurigo-only"))))))</f>
        <v>Tier 3: Must in 1 source</v>
      </c>
      <c r="M92" s="12"/>
      <c r="N92" s="12" t="s">
        <v>194</v>
      </c>
      <c r="O92" s="12"/>
      <c r="P92" s="12"/>
      <c r="Q92" s="12"/>
      <c r="R92" s="12"/>
      <c r="S92" s="8" t="s">
        <v>666</v>
      </c>
      <c r="T92" s="8"/>
      <c r="U92" s="8"/>
      <c r="V92" s="8" t="s">
        <v>204</v>
      </c>
      <c r="W92" s="8" t="s">
        <v>205</v>
      </c>
      <c r="X92" s="8"/>
      <c r="Y92" s="8"/>
      <c r="Z92" s="7" t="s">
        <v>89</v>
      </c>
      <c r="AA92" s="8" t="s">
        <v>90</v>
      </c>
      <c r="AB92" s="9" t="n">
        <v>208</v>
      </c>
      <c r="AC92" s="8" t="s">
        <v>667</v>
      </c>
    </row>
    <row r="93" customFormat="false" ht="37.5" hidden="false" customHeight="true" outlineLevel="0" collapsed="false">
      <c r="A93" s="12" t="s">
        <v>671</v>
      </c>
      <c r="B93" s="8" t="s">
        <v>188</v>
      </c>
      <c r="C93" s="8" t="s">
        <v>645</v>
      </c>
      <c r="D93" s="8" t="s">
        <v>658</v>
      </c>
      <c r="E93" s="8" t="s">
        <v>672</v>
      </c>
      <c r="F93" s="8" t="s">
        <v>673</v>
      </c>
      <c r="G93" s="8" t="s">
        <v>193</v>
      </c>
      <c r="H93" s="8" t="str">
        <f aca="false">IF(COUNTIF(M93:R93,"M")&gt;0,"Must Have",IF(COUNTIF(M93:R93,"S")&gt;0,"Should Have",IF(COUNTIF(M93:R93,"C")&gt;0,"Could Have",IF(COUNTA(M93:R93)&gt;0,"Stated – no priority","Aurigo-only (no RFP source)"))))</f>
        <v>Must Have</v>
      </c>
      <c r="I93" s="12" t="n">
        <f aca="false">COUNTA(M93:R93)</f>
        <v>1</v>
      </c>
      <c r="J93" s="12" t="n">
        <f aca="false">COUNTIF(M93:R93,"M")</f>
        <v>1</v>
      </c>
      <c r="K93" s="8" t="str">
        <f aca="false">IF(I93=0,"Aurigo-only",IF(I93=1,"Single source",IF(I93=2,"Two sources",IF(I93&lt;=4,"Common (3-4)","Broad (5+)"))))</f>
        <v>Single source</v>
      </c>
      <c r="L93" s="8" t="str">
        <f aca="false">IF(J93&gt;=3,"Tier 1: Must in 3+ sources",IF(J93=2,"Tier 2: Must in 2 sources",IF(J93=1,"Tier 3: Must in 1 source",IF(COUNTIF(M93:R93,"S")&gt;0,"Tier 4: Should only",IF(COUNTIF(M93:R93,"C")&gt;0,"Tier 5: Could only",IF(I93&gt;0,"Tier 6: stated, no priority","Aurigo-only"))))))</f>
        <v>Tier 3: Must in 1 source</v>
      </c>
      <c r="M93" s="12"/>
      <c r="N93" s="12" t="s">
        <v>194</v>
      </c>
      <c r="O93" s="12"/>
      <c r="P93" s="12"/>
      <c r="Q93" s="12"/>
      <c r="R93" s="12"/>
      <c r="S93" s="8" t="s">
        <v>666</v>
      </c>
      <c r="T93" s="8"/>
      <c r="U93" s="8"/>
      <c r="V93" s="8" t="s">
        <v>204</v>
      </c>
      <c r="W93" s="8" t="s">
        <v>205</v>
      </c>
      <c r="X93" s="8"/>
      <c r="Y93" s="8"/>
      <c r="Z93" s="7" t="s">
        <v>89</v>
      </c>
      <c r="AA93" s="8" t="s">
        <v>90</v>
      </c>
      <c r="AB93" s="9" t="n">
        <v>209</v>
      </c>
      <c r="AC93" s="8" t="s">
        <v>667</v>
      </c>
    </row>
    <row r="94" customFormat="false" ht="24.75" hidden="false" customHeight="true" outlineLevel="0" collapsed="false">
      <c r="A94" s="12" t="s">
        <v>674</v>
      </c>
      <c r="B94" s="8" t="s">
        <v>188</v>
      </c>
      <c r="C94" s="8" t="s">
        <v>645</v>
      </c>
      <c r="D94" s="8" t="s">
        <v>658</v>
      </c>
      <c r="E94" s="8" t="s">
        <v>675</v>
      </c>
      <c r="F94" s="8" t="s">
        <v>676</v>
      </c>
      <c r="G94" s="8" t="s">
        <v>397</v>
      </c>
      <c r="H94" s="8" t="str">
        <f aca="false">IF(COUNTIF(M94:R94,"M")&gt;0,"Must Have",IF(COUNTIF(M94:R94,"S")&gt;0,"Should Have",IF(COUNTIF(M94:R94,"C")&gt;0,"Could Have",IF(COUNTA(M94:R94)&gt;0,"Stated – no priority","Aurigo-only (no RFP source)"))))</f>
        <v>Must Have</v>
      </c>
      <c r="I94" s="12" t="n">
        <f aca="false">COUNTA(M94:R94)</f>
        <v>1</v>
      </c>
      <c r="J94" s="12" t="n">
        <f aca="false">COUNTIF(M94:R94,"M")</f>
        <v>1</v>
      </c>
      <c r="K94" s="8" t="str">
        <f aca="false">IF(I94=0,"Aurigo-only",IF(I94=1,"Single source",IF(I94=2,"Two sources",IF(I94&lt;=4,"Common (3-4)","Broad (5+)"))))</f>
        <v>Single source</v>
      </c>
      <c r="L94" s="8" t="str">
        <f aca="false">IF(J94&gt;=3,"Tier 1: Must in 3+ sources",IF(J94=2,"Tier 2: Must in 2 sources",IF(J94=1,"Tier 3: Must in 1 source",IF(COUNTIF(M94:R94,"S")&gt;0,"Tier 4: Should only",IF(COUNTIF(M94:R94,"C")&gt;0,"Tier 5: Could only",IF(I94&gt;0,"Tier 6: stated, no priority","Aurigo-only"))))))</f>
        <v>Tier 3: Must in 1 source</v>
      </c>
      <c r="M94" s="12"/>
      <c r="N94" s="12" t="s">
        <v>194</v>
      </c>
      <c r="O94" s="12"/>
      <c r="P94" s="12"/>
      <c r="Q94" s="12"/>
      <c r="R94" s="12"/>
      <c r="S94" s="8" t="s">
        <v>666</v>
      </c>
      <c r="T94" s="8"/>
      <c r="U94" s="8"/>
      <c r="V94" s="8" t="s">
        <v>204</v>
      </c>
      <c r="W94" s="8" t="s">
        <v>205</v>
      </c>
      <c r="X94" s="8"/>
      <c r="Y94" s="8"/>
      <c r="Z94" s="7" t="s">
        <v>135</v>
      </c>
      <c r="AA94" s="8" t="s">
        <v>136</v>
      </c>
      <c r="AB94" s="9" t="n">
        <v>317</v>
      </c>
      <c r="AC94" s="8" t="s">
        <v>657</v>
      </c>
    </row>
    <row r="95" customFormat="false" ht="24.75" hidden="false" customHeight="true" outlineLevel="0" collapsed="false">
      <c r="A95" s="12" t="s">
        <v>677</v>
      </c>
      <c r="B95" s="8" t="s">
        <v>188</v>
      </c>
      <c r="C95" s="8" t="s">
        <v>645</v>
      </c>
      <c r="D95" s="8" t="s">
        <v>678</v>
      </c>
      <c r="E95" s="8" t="s">
        <v>679</v>
      </c>
      <c r="F95" s="8" t="s">
        <v>680</v>
      </c>
      <c r="G95" s="8" t="s">
        <v>193</v>
      </c>
      <c r="H95" s="8" t="str">
        <f aca="false">IF(COUNTIF(M95:R95,"M")&gt;0,"Must Have",IF(COUNTIF(M95:R95,"S")&gt;0,"Should Have",IF(COUNTIF(M95:R95,"C")&gt;0,"Could Have",IF(COUNTA(M95:R95)&gt;0,"Stated – no priority","Aurigo-only (no RFP source)"))))</f>
        <v>Must Have</v>
      </c>
      <c r="I95" s="12" t="n">
        <f aca="false">COUNTA(M95:R95)</f>
        <v>1</v>
      </c>
      <c r="J95" s="12" t="n">
        <f aca="false">COUNTIF(M95:R95,"M")</f>
        <v>1</v>
      </c>
      <c r="K95" s="8" t="str">
        <f aca="false">IF(I95=0,"Aurigo-only",IF(I95=1,"Single source",IF(I95=2,"Two sources",IF(I95&lt;=4,"Common (3-4)","Broad (5+)"))))</f>
        <v>Single source</v>
      </c>
      <c r="L95" s="8" t="str">
        <f aca="false">IF(J95&gt;=3,"Tier 1: Must in 3+ sources",IF(J95=2,"Tier 2: Must in 2 sources",IF(J95=1,"Tier 3: Must in 1 source",IF(COUNTIF(M95:R95,"S")&gt;0,"Tier 4: Should only",IF(COUNTIF(M95:R95,"C")&gt;0,"Tier 5: Could only",IF(I95&gt;0,"Tier 6: stated, no priority","Aurigo-only"))))))</f>
        <v>Tier 3: Must in 1 source</v>
      </c>
      <c r="M95" s="12"/>
      <c r="N95" s="12" t="s">
        <v>194</v>
      </c>
      <c r="O95" s="12"/>
      <c r="P95" s="12"/>
      <c r="Q95" s="12"/>
      <c r="R95" s="12"/>
      <c r="S95" s="8" t="s">
        <v>681</v>
      </c>
      <c r="T95" s="8"/>
      <c r="U95" s="8"/>
      <c r="V95" s="8" t="s">
        <v>204</v>
      </c>
      <c r="W95" s="8" t="s">
        <v>205</v>
      </c>
      <c r="X95" s="8"/>
      <c r="Y95" s="8"/>
      <c r="Z95" s="7" t="s">
        <v>89</v>
      </c>
      <c r="AA95" s="8" t="s">
        <v>90</v>
      </c>
      <c r="AB95" s="9" t="n">
        <v>204</v>
      </c>
      <c r="AC95" s="8" t="s">
        <v>652</v>
      </c>
    </row>
    <row r="96" customFormat="false" ht="37.5" hidden="false" customHeight="true" outlineLevel="0" collapsed="false">
      <c r="A96" s="12" t="s">
        <v>682</v>
      </c>
      <c r="B96" s="8" t="s">
        <v>188</v>
      </c>
      <c r="C96" s="8" t="s">
        <v>645</v>
      </c>
      <c r="D96" s="8" t="s">
        <v>683</v>
      </c>
      <c r="E96" s="8" t="s">
        <v>684</v>
      </c>
      <c r="F96" s="8" t="s">
        <v>685</v>
      </c>
      <c r="G96" s="8" t="s">
        <v>193</v>
      </c>
      <c r="H96" s="8" t="str">
        <f aca="false">IF(COUNTIF(M96:R96,"M")&gt;0,"Must Have",IF(COUNTIF(M96:R96,"S")&gt;0,"Should Have",IF(COUNTIF(M96:R96,"C")&gt;0,"Could Have",IF(COUNTA(M96:R96)&gt;0,"Stated – no priority","Aurigo-only (no RFP source)"))))</f>
        <v>Must Have</v>
      </c>
      <c r="I96" s="12" t="n">
        <f aca="false">COUNTA(M96:R96)</f>
        <v>1</v>
      </c>
      <c r="J96" s="12" t="n">
        <f aca="false">COUNTIF(M96:R96,"M")</f>
        <v>1</v>
      </c>
      <c r="K96" s="8" t="str">
        <f aca="false">IF(I96=0,"Aurigo-only",IF(I96=1,"Single source",IF(I96=2,"Two sources",IF(I96&lt;=4,"Common (3-4)","Broad (5+)"))))</f>
        <v>Single source</v>
      </c>
      <c r="L96" s="8" t="str">
        <f aca="false">IF(J96&gt;=3,"Tier 1: Must in 3+ sources",IF(J96=2,"Tier 2: Must in 2 sources",IF(J96=1,"Tier 3: Must in 1 source",IF(COUNTIF(M96:R96,"S")&gt;0,"Tier 4: Should only",IF(COUNTIF(M96:R96,"C")&gt;0,"Tier 5: Could only",IF(I96&gt;0,"Tier 6: stated, no priority","Aurigo-only"))))))</f>
        <v>Tier 3: Must in 1 source</v>
      </c>
      <c r="M96" s="12"/>
      <c r="N96" s="12" t="s">
        <v>194</v>
      </c>
      <c r="O96" s="12"/>
      <c r="P96" s="12"/>
      <c r="Q96" s="12"/>
      <c r="R96" s="12"/>
      <c r="S96" s="8" t="s">
        <v>655</v>
      </c>
      <c r="T96" s="8"/>
      <c r="U96" s="8"/>
      <c r="V96" s="8" t="s">
        <v>204</v>
      </c>
      <c r="W96" s="8" t="s">
        <v>205</v>
      </c>
      <c r="X96" s="8"/>
      <c r="Y96" s="8"/>
      <c r="Z96" s="7" t="s">
        <v>86</v>
      </c>
      <c r="AA96" s="8" t="s">
        <v>87</v>
      </c>
      <c r="AB96" s="9" t="n">
        <v>200</v>
      </c>
      <c r="AC96" s="8" t="s">
        <v>644</v>
      </c>
    </row>
    <row r="97" customFormat="false" ht="49.5" hidden="false" customHeight="true" outlineLevel="0" collapsed="false">
      <c r="A97" s="12" t="s">
        <v>686</v>
      </c>
      <c r="B97" s="8" t="s">
        <v>188</v>
      </c>
      <c r="C97" s="8" t="s">
        <v>645</v>
      </c>
      <c r="D97" s="8" t="s">
        <v>683</v>
      </c>
      <c r="E97" s="8" t="s">
        <v>687</v>
      </c>
      <c r="F97" s="8" t="s">
        <v>688</v>
      </c>
      <c r="G97" s="8" t="s">
        <v>193</v>
      </c>
      <c r="H97" s="8" t="str">
        <f aca="false">IF(COUNTIF(M97:R97,"M")&gt;0,"Must Have",IF(COUNTIF(M97:R97,"S")&gt;0,"Should Have",IF(COUNTIF(M97:R97,"C")&gt;0,"Could Have",IF(COUNTA(M97:R97)&gt;0,"Stated – no priority","Aurigo-only (no RFP source)"))))</f>
        <v>Must Have</v>
      </c>
      <c r="I97" s="12" t="n">
        <f aca="false">COUNTA(M97:R97)</f>
        <v>2</v>
      </c>
      <c r="J97" s="12" t="n">
        <f aca="false">COUNTIF(M97:R97,"M")</f>
        <v>2</v>
      </c>
      <c r="K97" s="8" t="str">
        <f aca="false">IF(I97=0,"Aurigo-only",IF(I97=1,"Single source",IF(I97=2,"Two sources",IF(I97&lt;=4,"Common (3-4)","Broad (5+)"))))</f>
        <v>Two sources</v>
      </c>
      <c r="L97" s="8" t="str">
        <f aca="false">IF(J97&gt;=3,"Tier 1: Must in 3+ sources",IF(J97=2,"Tier 2: Must in 2 sources",IF(J97=1,"Tier 3: Must in 1 source",IF(COUNTIF(M97:R97,"S")&gt;0,"Tier 4: Should only",IF(COUNTIF(M97:R97,"C")&gt;0,"Tier 5: Could only",IF(I97&gt;0,"Tier 6: stated, no priority","Aurigo-only"))))))</f>
        <v>Tier 2: Must in 2 sources</v>
      </c>
      <c r="M97" s="12"/>
      <c r="N97" s="12" t="s">
        <v>194</v>
      </c>
      <c r="O97" s="12"/>
      <c r="P97" s="12"/>
      <c r="Q97" s="12" t="s">
        <v>194</v>
      </c>
      <c r="R97" s="12"/>
      <c r="S97" s="8" t="s">
        <v>689</v>
      </c>
      <c r="T97" s="8"/>
      <c r="U97" s="8"/>
      <c r="V97" s="8" t="s">
        <v>197</v>
      </c>
      <c r="W97" s="8" t="s">
        <v>690</v>
      </c>
      <c r="X97" s="8"/>
      <c r="Y97" s="8"/>
      <c r="Z97" s="7" t="s">
        <v>86</v>
      </c>
      <c r="AA97" s="8" t="s">
        <v>87</v>
      </c>
      <c r="AB97" s="9" t="n">
        <v>201</v>
      </c>
      <c r="AC97" s="8" t="s">
        <v>691</v>
      </c>
    </row>
    <row r="98" customFormat="false" ht="24.75" hidden="false" customHeight="true" outlineLevel="0" collapsed="false">
      <c r="A98" s="12" t="s">
        <v>692</v>
      </c>
      <c r="B98" s="8" t="s">
        <v>188</v>
      </c>
      <c r="C98" s="8" t="s">
        <v>645</v>
      </c>
      <c r="D98" s="8" t="s">
        <v>683</v>
      </c>
      <c r="E98" s="8" t="s">
        <v>693</v>
      </c>
      <c r="F98" s="8" t="s">
        <v>694</v>
      </c>
      <c r="G98" s="8" t="s">
        <v>193</v>
      </c>
      <c r="H98" s="8" t="str">
        <f aca="false">IF(COUNTIF(M98:R98,"M")&gt;0,"Must Have",IF(COUNTIF(M98:R98,"S")&gt;0,"Should Have",IF(COUNTIF(M98:R98,"C")&gt;0,"Could Have",IF(COUNTA(M98:R98)&gt;0,"Stated – no priority","Aurigo-only (no RFP source)"))))</f>
        <v>Must Have</v>
      </c>
      <c r="I98" s="12" t="n">
        <f aca="false">COUNTA(M98:R98)</f>
        <v>1</v>
      </c>
      <c r="J98" s="12" t="n">
        <f aca="false">COUNTIF(M98:R98,"M")</f>
        <v>1</v>
      </c>
      <c r="K98" s="8" t="str">
        <f aca="false">IF(I98=0,"Aurigo-only",IF(I98=1,"Single source",IF(I98=2,"Two sources",IF(I98&lt;=4,"Common (3-4)","Broad (5+)"))))</f>
        <v>Single source</v>
      </c>
      <c r="L98" s="8" t="str">
        <f aca="false">IF(J98&gt;=3,"Tier 1: Must in 3+ sources",IF(J98=2,"Tier 2: Must in 2 sources",IF(J98=1,"Tier 3: Must in 1 source",IF(COUNTIF(M98:R98,"S")&gt;0,"Tier 4: Should only",IF(COUNTIF(M98:R98,"C")&gt;0,"Tier 5: Could only",IF(I98&gt;0,"Tier 6: stated, no priority","Aurigo-only"))))))</f>
        <v>Tier 3: Must in 1 source</v>
      </c>
      <c r="M98" s="12"/>
      <c r="N98" s="12" t="s">
        <v>194</v>
      </c>
      <c r="O98" s="12"/>
      <c r="P98" s="12"/>
      <c r="Q98" s="12"/>
      <c r="R98" s="12"/>
      <c r="S98" s="8" t="s">
        <v>681</v>
      </c>
      <c r="T98" s="8"/>
      <c r="U98" s="8"/>
      <c r="V98" s="8" t="s">
        <v>204</v>
      </c>
      <c r="W98" s="8" t="s">
        <v>205</v>
      </c>
      <c r="X98" s="8"/>
      <c r="Y98" s="8"/>
      <c r="Z98" s="7" t="s">
        <v>86</v>
      </c>
      <c r="AA98" s="8" t="s">
        <v>87</v>
      </c>
      <c r="AB98" s="9" t="n">
        <v>202</v>
      </c>
      <c r="AC98" s="8" t="s">
        <v>686</v>
      </c>
    </row>
    <row r="99" customFormat="false" ht="24.75" hidden="false" customHeight="true" outlineLevel="0" collapsed="false">
      <c r="A99" s="12" t="s">
        <v>695</v>
      </c>
      <c r="B99" s="8" t="s">
        <v>188</v>
      </c>
      <c r="C99" s="8" t="s">
        <v>645</v>
      </c>
      <c r="D99" s="8" t="s">
        <v>683</v>
      </c>
      <c r="E99" s="8" t="s">
        <v>696</v>
      </c>
      <c r="F99" s="8" t="s">
        <v>697</v>
      </c>
      <c r="G99" s="8" t="s">
        <v>193</v>
      </c>
      <c r="H99" s="8" t="str">
        <f aca="false">IF(COUNTIF(M99:R99,"M")&gt;0,"Must Have",IF(COUNTIF(M99:R99,"S")&gt;0,"Should Have",IF(COUNTIF(M99:R99,"C")&gt;0,"Could Have",IF(COUNTA(M99:R99)&gt;0,"Stated – no priority","Aurigo-only (no RFP source)"))))</f>
        <v>Must Have</v>
      </c>
      <c r="I99" s="12" t="n">
        <f aca="false">COUNTA(M99:R99)</f>
        <v>1</v>
      </c>
      <c r="J99" s="12" t="n">
        <f aca="false">COUNTIF(M99:R99,"M")</f>
        <v>1</v>
      </c>
      <c r="K99" s="8" t="str">
        <f aca="false">IF(I99=0,"Aurigo-only",IF(I99=1,"Single source",IF(I99=2,"Two sources",IF(I99&lt;=4,"Common (3-4)","Broad (5+)"))))</f>
        <v>Single source</v>
      </c>
      <c r="L99" s="8" t="str">
        <f aca="false">IF(J99&gt;=3,"Tier 1: Must in 3+ sources",IF(J99=2,"Tier 2: Must in 2 sources",IF(J99=1,"Tier 3: Must in 1 source",IF(COUNTIF(M99:R99,"S")&gt;0,"Tier 4: Should only",IF(COUNTIF(M99:R99,"C")&gt;0,"Tier 5: Could only",IF(I99&gt;0,"Tier 6: stated, no priority","Aurigo-only"))))))</f>
        <v>Tier 3: Must in 1 source</v>
      </c>
      <c r="M99" s="12"/>
      <c r="N99" s="12" t="s">
        <v>194</v>
      </c>
      <c r="O99" s="12"/>
      <c r="P99" s="12"/>
      <c r="Q99" s="12"/>
      <c r="R99" s="12"/>
      <c r="S99" s="8" t="s">
        <v>666</v>
      </c>
      <c r="T99" s="8"/>
      <c r="U99" s="8"/>
      <c r="V99" s="8" t="s">
        <v>204</v>
      </c>
      <c r="W99" s="8" t="s">
        <v>205</v>
      </c>
      <c r="X99" s="8"/>
      <c r="Y99" s="8"/>
      <c r="Z99" s="7" t="s">
        <v>86</v>
      </c>
      <c r="AA99" s="8" t="s">
        <v>87</v>
      </c>
      <c r="AB99" s="9" t="n">
        <v>195</v>
      </c>
      <c r="AC99" s="8" t="s">
        <v>644</v>
      </c>
    </row>
    <row r="100" customFormat="false" ht="49.5" hidden="false" customHeight="true" outlineLevel="0" collapsed="false">
      <c r="A100" s="12" t="s">
        <v>698</v>
      </c>
      <c r="B100" s="8" t="s">
        <v>188</v>
      </c>
      <c r="C100" s="8" t="s">
        <v>645</v>
      </c>
      <c r="D100" s="8" t="s">
        <v>699</v>
      </c>
      <c r="E100" s="8" t="s">
        <v>700</v>
      </c>
      <c r="F100" s="8" t="s">
        <v>701</v>
      </c>
      <c r="G100" s="8" t="s">
        <v>193</v>
      </c>
      <c r="H100" s="8" t="str">
        <f aca="false">IF(COUNTIF(M100:R100,"M")&gt;0,"Must Have",IF(COUNTIF(M100:R100,"S")&gt;0,"Should Have",IF(COUNTIF(M100:R100,"C")&gt;0,"Could Have",IF(COUNTA(M100:R100)&gt;0,"Stated – no priority","Aurigo-only (no RFP source)"))))</f>
        <v>Must Have</v>
      </c>
      <c r="I100" s="12" t="n">
        <f aca="false">COUNTA(M100:R100)</f>
        <v>1</v>
      </c>
      <c r="J100" s="12" t="n">
        <f aca="false">COUNTIF(M100:R100,"M")</f>
        <v>1</v>
      </c>
      <c r="K100" s="8" t="str">
        <f aca="false">IF(I100=0,"Aurigo-only",IF(I100=1,"Single source",IF(I100=2,"Two sources",IF(I100&lt;=4,"Common (3-4)","Broad (5+)"))))</f>
        <v>Single source</v>
      </c>
      <c r="L100" s="8" t="str">
        <f aca="false">IF(J100&gt;=3,"Tier 1: Must in 3+ sources",IF(J100=2,"Tier 2: Must in 2 sources",IF(J100=1,"Tier 3: Must in 1 source",IF(COUNTIF(M100:R100,"S")&gt;0,"Tier 4: Should only",IF(COUNTIF(M100:R100,"C")&gt;0,"Tier 5: Could only",IF(I100&gt;0,"Tier 6: stated, no priority","Aurigo-only"))))))</f>
        <v>Tier 3: Must in 1 source</v>
      </c>
      <c r="M100" s="12"/>
      <c r="N100" s="12" t="s">
        <v>194</v>
      </c>
      <c r="O100" s="12"/>
      <c r="P100" s="12"/>
      <c r="Q100" s="12"/>
      <c r="R100" s="12"/>
      <c r="S100" s="8" t="s">
        <v>655</v>
      </c>
      <c r="T100" s="8" t="s">
        <v>702</v>
      </c>
      <c r="U100" s="8"/>
      <c r="V100" s="8" t="s">
        <v>227</v>
      </c>
      <c r="W100" s="8" t="s">
        <v>703</v>
      </c>
      <c r="X100" s="8"/>
      <c r="Y100" s="8"/>
      <c r="Z100" s="7" t="s">
        <v>93</v>
      </c>
      <c r="AA100" s="8" t="s">
        <v>94</v>
      </c>
      <c r="AB100" s="9" t="n">
        <v>214</v>
      </c>
      <c r="AC100" s="8" t="s">
        <v>704</v>
      </c>
    </row>
    <row r="101" customFormat="false" ht="24.75" hidden="false" customHeight="true" outlineLevel="0" collapsed="false">
      <c r="A101" s="12" t="s">
        <v>705</v>
      </c>
      <c r="B101" s="8" t="s">
        <v>188</v>
      </c>
      <c r="C101" s="8" t="s">
        <v>645</v>
      </c>
      <c r="D101" s="8" t="s">
        <v>646</v>
      </c>
      <c r="E101" s="8" t="s">
        <v>706</v>
      </c>
      <c r="F101" s="8" t="s">
        <v>707</v>
      </c>
      <c r="G101" s="8" t="s">
        <v>193</v>
      </c>
      <c r="H101" s="8" t="str">
        <f aca="false">IF(COUNTIF(M101:R101,"M")&gt;0,"Must Have",IF(COUNTIF(M101:R101,"S")&gt;0,"Should Have",IF(COUNTIF(M101:R101,"C")&gt;0,"Could Have",IF(COUNTA(M101:R101)&gt;0,"Stated – no priority","Aurigo-only (no RFP source)"))))</f>
        <v>Must Have</v>
      </c>
      <c r="I101" s="12" t="n">
        <f aca="false">COUNTA(M101:R101)</f>
        <v>1</v>
      </c>
      <c r="J101" s="12" t="n">
        <f aca="false">COUNTIF(M101:R101,"M")</f>
        <v>1</v>
      </c>
      <c r="K101" s="8" t="str">
        <f aca="false">IF(I101=0,"Aurigo-only",IF(I101=1,"Single source",IF(I101=2,"Two sources",IF(I101&lt;=4,"Common (3-4)","Broad (5+)"))))</f>
        <v>Single source</v>
      </c>
      <c r="L101" s="8" t="str">
        <f aca="false">IF(J101&gt;=3,"Tier 1: Must in 3+ sources",IF(J101=2,"Tier 2: Must in 2 sources",IF(J101=1,"Tier 3: Must in 1 source",IF(COUNTIF(M101:R101,"S")&gt;0,"Tier 4: Should only",IF(COUNTIF(M101:R101,"C")&gt;0,"Tier 5: Could only",IF(I101&gt;0,"Tier 6: stated, no priority","Aurigo-only"))))))</f>
        <v>Tier 3: Must in 1 source</v>
      </c>
      <c r="M101" s="12"/>
      <c r="N101" s="12" t="s">
        <v>194</v>
      </c>
      <c r="O101" s="12"/>
      <c r="P101" s="12"/>
      <c r="Q101" s="12"/>
      <c r="R101" s="12"/>
      <c r="S101" s="8" t="s">
        <v>708</v>
      </c>
      <c r="T101" s="8"/>
      <c r="U101" s="8"/>
      <c r="V101" s="8" t="s">
        <v>197</v>
      </c>
      <c r="W101" s="8" t="s">
        <v>709</v>
      </c>
      <c r="X101" s="8"/>
      <c r="Y101" s="8"/>
      <c r="Z101" s="7" t="s">
        <v>86</v>
      </c>
      <c r="AA101" s="8" t="s">
        <v>87</v>
      </c>
      <c r="AB101" s="9" t="n">
        <v>203</v>
      </c>
      <c r="AC101" s="8" t="s">
        <v>644</v>
      </c>
    </row>
    <row r="102" customFormat="false" ht="49.5" hidden="false" customHeight="true" outlineLevel="0" collapsed="false">
      <c r="A102" s="12" t="s">
        <v>710</v>
      </c>
      <c r="B102" s="8" t="s">
        <v>188</v>
      </c>
      <c r="C102" s="8" t="s">
        <v>645</v>
      </c>
      <c r="D102" s="8" t="s">
        <v>711</v>
      </c>
      <c r="E102" s="8" t="s">
        <v>712</v>
      </c>
      <c r="F102" s="8" t="s">
        <v>713</v>
      </c>
      <c r="G102" s="8" t="s">
        <v>370</v>
      </c>
      <c r="H102" s="8" t="str">
        <f aca="false">IF(COUNTIF(M102:R102,"M")&gt;0,"Must Have",IF(COUNTIF(M102:R102,"S")&gt;0,"Should Have",IF(COUNTIF(M102:R102,"C")&gt;0,"Could Have",IF(COUNTA(M102:R102)&gt;0,"Stated – no priority","Aurigo-only (no RFP source)"))))</f>
        <v>Must Have</v>
      </c>
      <c r="I102" s="12" t="n">
        <f aca="false">COUNTA(M102:R102)</f>
        <v>2</v>
      </c>
      <c r="J102" s="12" t="n">
        <f aca="false">COUNTIF(M102:R102,"M")</f>
        <v>2</v>
      </c>
      <c r="K102" s="8" t="str">
        <f aca="false">IF(I102=0,"Aurigo-only",IF(I102=1,"Single source",IF(I102=2,"Two sources",IF(I102&lt;=4,"Common (3-4)","Broad (5+)"))))</f>
        <v>Two sources</v>
      </c>
      <c r="L102" s="8" t="str">
        <f aca="false">IF(J102&gt;=3,"Tier 1: Must in 3+ sources",IF(J102=2,"Tier 2: Must in 2 sources",IF(J102=1,"Tier 3: Must in 1 source",IF(COUNTIF(M102:R102,"S")&gt;0,"Tier 4: Should only",IF(COUNTIF(M102:R102,"C")&gt;0,"Tier 5: Could only",IF(I102&gt;0,"Tier 6: stated, no priority","Aurigo-only"))))))</f>
        <v>Tier 2: Must in 2 sources</v>
      </c>
      <c r="M102" s="12" t="s">
        <v>194</v>
      </c>
      <c r="N102" s="12" t="s">
        <v>194</v>
      </c>
      <c r="O102" s="12"/>
      <c r="P102" s="12"/>
      <c r="Q102" s="12"/>
      <c r="R102" s="12"/>
      <c r="S102" s="8" t="s">
        <v>714</v>
      </c>
      <c r="T102" s="8"/>
      <c r="U102" s="8"/>
      <c r="V102" s="8" t="s">
        <v>197</v>
      </c>
      <c r="W102" s="8" t="s">
        <v>715</v>
      </c>
      <c r="X102" s="8"/>
      <c r="Y102" s="8"/>
      <c r="Z102" s="7" t="s">
        <v>93</v>
      </c>
      <c r="AA102" s="8" t="s">
        <v>94</v>
      </c>
      <c r="AB102" s="9" t="n">
        <v>215</v>
      </c>
      <c r="AC102" s="8" t="s">
        <v>716</v>
      </c>
    </row>
    <row r="103" customFormat="false" ht="87" hidden="false" customHeight="true" outlineLevel="0" collapsed="false">
      <c r="A103" s="12" t="s">
        <v>717</v>
      </c>
      <c r="B103" s="8" t="s">
        <v>188</v>
      </c>
      <c r="C103" s="8" t="s">
        <v>718</v>
      </c>
      <c r="D103" s="8" t="s">
        <v>719</v>
      </c>
      <c r="E103" s="8" t="s">
        <v>720</v>
      </c>
      <c r="F103" s="8" t="s">
        <v>721</v>
      </c>
      <c r="G103" s="8" t="s">
        <v>193</v>
      </c>
      <c r="H103" s="8" t="str">
        <f aca="false">IF(COUNTIF(M103:R103,"M")&gt;0,"Must Have",IF(COUNTIF(M103:R103,"S")&gt;0,"Should Have",IF(COUNTIF(M103:R103,"C")&gt;0,"Could Have",IF(COUNTA(M103:R103)&gt;0,"Stated – no priority","Aurigo-only (no RFP source)"))))</f>
        <v>Must Have</v>
      </c>
      <c r="I103" s="12" t="n">
        <f aca="false">COUNTA(M103:R103)</f>
        <v>4</v>
      </c>
      <c r="J103" s="12" t="n">
        <f aca="false">COUNTIF(M103:R103,"M")</f>
        <v>3</v>
      </c>
      <c r="K103" s="8" t="str">
        <f aca="false">IF(I103=0,"Aurigo-only",IF(I103=1,"Single source",IF(I103=2,"Two sources",IF(I103&lt;=4,"Common (3-4)","Broad (5+)"))))</f>
        <v>Common (3-4)</v>
      </c>
      <c r="L103" s="8" t="str">
        <f aca="false">IF(J103&gt;=3,"Tier 1: Must in 3+ sources",IF(J103=2,"Tier 2: Must in 2 sources",IF(J103=1,"Tier 3: Must in 1 source",IF(COUNTIF(M103:R103,"S")&gt;0,"Tier 4: Should only",IF(COUNTIF(M103:R103,"C")&gt;0,"Tier 5: Could only",IF(I103&gt;0,"Tier 6: stated, no priority","Aurigo-only"))))))</f>
        <v>Tier 1: Must in 3+ sources</v>
      </c>
      <c r="M103" s="12" t="s">
        <v>194</v>
      </c>
      <c r="N103" s="12" t="s">
        <v>194</v>
      </c>
      <c r="O103" s="12"/>
      <c r="P103" s="12" t="s">
        <v>195</v>
      </c>
      <c r="Q103" s="12" t="s">
        <v>194</v>
      </c>
      <c r="R103" s="12"/>
      <c r="S103" s="8" t="s">
        <v>722</v>
      </c>
      <c r="T103" s="8"/>
      <c r="U103" s="8"/>
      <c r="V103" s="8" t="s">
        <v>197</v>
      </c>
      <c r="W103" s="8" t="s">
        <v>723</v>
      </c>
      <c r="X103" s="8"/>
      <c r="Y103" s="8"/>
      <c r="Z103" s="7" t="s">
        <v>96</v>
      </c>
      <c r="AA103" s="8" t="s">
        <v>97</v>
      </c>
      <c r="AB103" s="9" t="n">
        <v>217</v>
      </c>
      <c r="AC103" s="8" t="s">
        <v>724</v>
      </c>
    </row>
    <row r="104" customFormat="false" ht="37.5" hidden="false" customHeight="true" outlineLevel="0" collapsed="false">
      <c r="A104" s="12" t="s">
        <v>725</v>
      </c>
      <c r="B104" s="8" t="s">
        <v>188</v>
      </c>
      <c r="C104" s="8" t="s">
        <v>718</v>
      </c>
      <c r="D104" s="8" t="s">
        <v>719</v>
      </c>
      <c r="E104" s="8" t="s">
        <v>726</v>
      </c>
      <c r="F104" s="8" t="s">
        <v>727</v>
      </c>
      <c r="G104" s="8" t="s">
        <v>193</v>
      </c>
      <c r="H104" s="8" t="str">
        <f aca="false">IF(COUNTIF(M104:R104,"M")&gt;0,"Must Have",IF(COUNTIF(M104:R104,"S")&gt;0,"Should Have",IF(COUNTIF(M104:R104,"C")&gt;0,"Could Have",IF(COUNTA(M104:R104)&gt;0,"Stated – no priority","Aurigo-only (no RFP source)"))))</f>
        <v>Must Have</v>
      </c>
      <c r="I104" s="12" t="n">
        <f aca="false">COUNTA(M104:R104)</f>
        <v>1</v>
      </c>
      <c r="J104" s="12" t="n">
        <f aca="false">COUNTIF(M104:R104,"M")</f>
        <v>1</v>
      </c>
      <c r="K104" s="8" t="str">
        <f aca="false">IF(I104=0,"Aurigo-only",IF(I104=1,"Single source",IF(I104=2,"Two sources",IF(I104&lt;=4,"Common (3-4)","Broad (5+)"))))</f>
        <v>Single source</v>
      </c>
      <c r="L104" s="8" t="str">
        <f aca="false">IF(J104&gt;=3,"Tier 1: Must in 3+ sources",IF(J104=2,"Tier 2: Must in 2 sources",IF(J104=1,"Tier 3: Must in 1 source",IF(COUNTIF(M104:R104,"S")&gt;0,"Tier 4: Should only",IF(COUNTIF(M104:R104,"C")&gt;0,"Tier 5: Could only",IF(I104&gt;0,"Tier 6: stated, no priority","Aurigo-only"))))))</f>
        <v>Tier 3: Must in 1 source</v>
      </c>
      <c r="M104" s="12"/>
      <c r="N104" s="12" t="s">
        <v>194</v>
      </c>
      <c r="O104" s="12"/>
      <c r="P104" s="12"/>
      <c r="Q104" s="12"/>
      <c r="R104" s="12"/>
      <c r="S104" s="8" t="s">
        <v>728</v>
      </c>
      <c r="T104" s="8"/>
      <c r="U104" s="8"/>
      <c r="V104" s="8" t="s">
        <v>204</v>
      </c>
      <c r="W104" s="8" t="s">
        <v>205</v>
      </c>
      <c r="X104" s="8"/>
      <c r="Y104" s="8"/>
      <c r="Z104" s="7" t="s">
        <v>96</v>
      </c>
      <c r="AA104" s="8" t="s">
        <v>97</v>
      </c>
      <c r="AB104" s="9" t="n">
        <v>218</v>
      </c>
      <c r="AC104" s="8" t="s">
        <v>729</v>
      </c>
    </row>
    <row r="105" customFormat="false" ht="49.5" hidden="false" customHeight="true" outlineLevel="0" collapsed="false">
      <c r="A105" s="12" t="s">
        <v>730</v>
      </c>
      <c r="B105" s="8" t="s">
        <v>188</v>
      </c>
      <c r="C105" s="8" t="s">
        <v>718</v>
      </c>
      <c r="D105" s="8" t="s">
        <v>719</v>
      </c>
      <c r="E105" s="8" t="s">
        <v>731</v>
      </c>
      <c r="F105" s="8" t="s">
        <v>732</v>
      </c>
      <c r="G105" s="8" t="s">
        <v>193</v>
      </c>
      <c r="H105" s="8" t="str">
        <f aca="false">IF(COUNTIF(M105:R105,"M")&gt;0,"Must Have",IF(COUNTIF(M105:R105,"S")&gt;0,"Should Have",IF(COUNTIF(M105:R105,"C")&gt;0,"Could Have",IF(COUNTA(M105:R105)&gt;0,"Stated – no priority","Aurigo-only (no RFP source)"))))</f>
        <v>Must Have</v>
      </c>
      <c r="I105" s="12" t="n">
        <f aca="false">COUNTA(M105:R105)</f>
        <v>1</v>
      </c>
      <c r="J105" s="12" t="n">
        <f aca="false">COUNTIF(M105:R105,"M")</f>
        <v>1</v>
      </c>
      <c r="K105" s="8" t="str">
        <f aca="false">IF(I105=0,"Aurigo-only",IF(I105=1,"Single source",IF(I105=2,"Two sources",IF(I105&lt;=4,"Common (3-4)","Broad (5+)"))))</f>
        <v>Single source</v>
      </c>
      <c r="L105" s="8" t="str">
        <f aca="false">IF(J105&gt;=3,"Tier 1: Must in 3+ sources",IF(J105=2,"Tier 2: Must in 2 sources",IF(J105=1,"Tier 3: Must in 1 source",IF(COUNTIF(M105:R105,"S")&gt;0,"Tier 4: Should only",IF(COUNTIF(M105:R105,"C")&gt;0,"Tier 5: Could only",IF(I105&gt;0,"Tier 6: stated, no priority","Aurigo-only"))))))</f>
        <v>Tier 3: Must in 1 source</v>
      </c>
      <c r="M105" s="12" t="s">
        <v>194</v>
      </c>
      <c r="N105" s="12"/>
      <c r="O105" s="12"/>
      <c r="P105" s="12"/>
      <c r="Q105" s="12"/>
      <c r="R105" s="12"/>
      <c r="S105" s="8" t="s">
        <v>733</v>
      </c>
      <c r="T105" s="8"/>
      <c r="U105" s="8"/>
      <c r="V105" s="8" t="s">
        <v>204</v>
      </c>
      <c r="W105" s="8" t="s">
        <v>205</v>
      </c>
      <c r="X105" s="8" t="s">
        <v>734</v>
      </c>
      <c r="Y105" s="8"/>
      <c r="Z105" s="7" t="s">
        <v>96</v>
      </c>
      <c r="AA105" s="8" t="s">
        <v>97</v>
      </c>
      <c r="AB105" s="9" t="n">
        <v>219</v>
      </c>
      <c r="AC105" s="8" t="s">
        <v>717</v>
      </c>
    </row>
    <row r="106" customFormat="false" ht="24.75" hidden="false" customHeight="true" outlineLevel="0" collapsed="false">
      <c r="A106" s="12" t="s">
        <v>735</v>
      </c>
      <c r="B106" s="8" t="s">
        <v>188</v>
      </c>
      <c r="C106" s="8" t="s">
        <v>718</v>
      </c>
      <c r="D106" s="8" t="s">
        <v>719</v>
      </c>
      <c r="E106" s="8" t="s">
        <v>736</v>
      </c>
      <c r="F106" s="8" t="s">
        <v>737</v>
      </c>
      <c r="G106" s="8" t="s">
        <v>193</v>
      </c>
      <c r="H106" s="8" t="str">
        <f aca="false">IF(COUNTIF(M106:R106,"M")&gt;0,"Must Have",IF(COUNTIF(M106:R106,"S")&gt;0,"Should Have",IF(COUNTIF(M106:R106,"C")&gt;0,"Could Have",IF(COUNTA(M106:R106)&gt;0,"Stated – no priority","Aurigo-only (no RFP source)"))))</f>
        <v>Must Have</v>
      </c>
      <c r="I106" s="12" t="n">
        <f aca="false">COUNTA(M106:R106)</f>
        <v>1</v>
      </c>
      <c r="J106" s="12" t="n">
        <f aca="false">COUNTIF(M106:R106,"M")</f>
        <v>1</v>
      </c>
      <c r="K106" s="8" t="str">
        <f aca="false">IF(I106=0,"Aurigo-only",IF(I106=1,"Single source",IF(I106=2,"Two sources",IF(I106&lt;=4,"Common (3-4)","Broad (5+)"))))</f>
        <v>Single source</v>
      </c>
      <c r="L106" s="8" t="str">
        <f aca="false">IF(J106&gt;=3,"Tier 1: Must in 3+ sources",IF(J106=2,"Tier 2: Must in 2 sources",IF(J106=1,"Tier 3: Must in 1 source",IF(COUNTIF(M106:R106,"S")&gt;0,"Tier 4: Should only",IF(COUNTIF(M106:R106,"C")&gt;0,"Tier 5: Could only",IF(I106&gt;0,"Tier 6: stated, no priority","Aurigo-only"))))))</f>
        <v>Tier 3: Must in 1 source</v>
      </c>
      <c r="M106" s="12" t="s">
        <v>194</v>
      </c>
      <c r="N106" s="12"/>
      <c r="O106" s="12"/>
      <c r="P106" s="12"/>
      <c r="Q106" s="12"/>
      <c r="R106" s="12"/>
      <c r="S106" s="8" t="s">
        <v>738</v>
      </c>
      <c r="T106" s="8"/>
      <c r="U106" s="8"/>
      <c r="V106" s="8" t="s">
        <v>204</v>
      </c>
      <c r="W106" s="8" t="s">
        <v>205</v>
      </c>
      <c r="X106" s="8"/>
      <c r="Y106" s="8"/>
      <c r="Z106" s="7" t="s">
        <v>96</v>
      </c>
      <c r="AA106" s="8" t="s">
        <v>97</v>
      </c>
      <c r="AB106" s="9" t="n">
        <v>220</v>
      </c>
      <c r="AC106" s="8" t="s">
        <v>717</v>
      </c>
    </row>
    <row r="107" customFormat="false" ht="49.5" hidden="false" customHeight="true" outlineLevel="0" collapsed="false">
      <c r="A107" s="12" t="s">
        <v>739</v>
      </c>
      <c r="B107" s="8" t="s">
        <v>188</v>
      </c>
      <c r="C107" s="8" t="s">
        <v>718</v>
      </c>
      <c r="D107" s="8" t="s">
        <v>719</v>
      </c>
      <c r="E107" s="8" t="s">
        <v>740</v>
      </c>
      <c r="F107" s="8" t="s">
        <v>741</v>
      </c>
      <c r="G107" s="8" t="s">
        <v>193</v>
      </c>
      <c r="H107" s="8" t="str">
        <f aca="false">IF(COUNTIF(M107:R107,"M")&gt;0,"Must Have",IF(COUNTIF(M107:R107,"S")&gt;0,"Should Have",IF(COUNTIF(M107:R107,"C")&gt;0,"Could Have",IF(COUNTA(M107:R107)&gt;0,"Stated – no priority","Aurigo-only (no RFP source)"))))</f>
        <v>Must Have</v>
      </c>
      <c r="I107" s="12" t="n">
        <f aca="false">COUNTA(M107:R107)</f>
        <v>2</v>
      </c>
      <c r="J107" s="12" t="n">
        <f aca="false">COUNTIF(M107:R107,"M")</f>
        <v>2</v>
      </c>
      <c r="K107" s="8" t="str">
        <f aca="false">IF(I107=0,"Aurigo-only",IF(I107=1,"Single source",IF(I107=2,"Two sources",IF(I107&lt;=4,"Common (3-4)","Broad (5+)"))))</f>
        <v>Two sources</v>
      </c>
      <c r="L107" s="8" t="str">
        <f aca="false">IF(J107&gt;=3,"Tier 1: Must in 3+ sources",IF(J107=2,"Tier 2: Must in 2 sources",IF(J107=1,"Tier 3: Must in 1 source",IF(COUNTIF(M107:R107,"S")&gt;0,"Tier 4: Should only",IF(COUNTIF(M107:R107,"C")&gt;0,"Tier 5: Could only",IF(I107&gt;0,"Tier 6: stated, no priority","Aurigo-only"))))))</f>
        <v>Tier 2: Must in 2 sources</v>
      </c>
      <c r="M107" s="12" t="s">
        <v>194</v>
      </c>
      <c r="N107" s="12" t="s">
        <v>194</v>
      </c>
      <c r="O107" s="12"/>
      <c r="P107" s="12"/>
      <c r="Q107" s="12"/>
      <c r="R107" s="12"/>
      <c r="S107" s="8" t="s">
        <v>742</v>
      </c>
      <c r="T107" s="8"/>
      <c r="U107" s="8"/>
      <c r="V107" s="8" t="s">
        <v>204</v>
      </c>
      <c r="W107" s="8" t="s">
        <v>205</v>
      </c>
      <c r="X107" s="8"/>
      <c r="Y107" s="8"/>
      <c r="Z107" s="7" t="s">
        <v>99</v>
      </c>
      <c r="AA107" s="8" t="s">
        <v>100</v>
      </c>
      <c r="AB107" s="9" t="n">
        <v>227</v>
      </c>
      <c r="AC107" s="8" t="s">
        <v>743</v>
      </c>
    </row>
    <row r="108" customFormat="false" ht="24.75" hidden="false" customHeight="true" outlineLevel="0" collapsed="false">
      <c r="A108" s="12" t="s">
        <v>744</v>
      </c>
      <c r="B108" s="8" t="s">
        <v>188</v>
      </c>
      <c r="C108" s="8" t="s">
        <v>718</v>
      </c>
      <c r="D108" s="8" t="s">
        <v>719</v>
      </c>
      <c r="E108" s="8" t="s">
        <v>745</v>
      </c>
      <c r="F108" s="8" t="s">
        <v>746</v>
      </c>
      <c r="G108" s="8" t="s">
        <v>370</v>
      </c>
      <c r="H108" s="8" t="str">
        <f aca="false">IF(COUNTIF(M108:R108,"M")&gt;0,"Must Have",IF(COUNTIF(M108:R108,"S")&gt;0,"Should Have",IF(COUNTIF(M108:R108,"C")&gt;0,"Could Have",IF(COUNTA(M108:R108)&gt;0,"Stated – no priority","Aurigo-only (no RFP source)"))))</f>
        <v>Must Have</v>
      </c>
      <c r="I108" s="12" t="n">
        <f aca="false">COUNTA(M108:R108)</f>
        <v>1</v>
      </c>
      <c r="J108" s="12" t="n">
        <f aca="false">COUNTIF(M108:R108,"M")</f>
        <v>1</v>
      </c>
      <c r="K108" s="8" t="str">
        <f aca="false">IF(I108=0,"Aurigo-only",IF(I108=1,"Single source",IF(I108=2,"Two sources",IF(I108&lt;=4,"Common (3-4)","Broad (5+)"))))</f>
        <v>Single source</v>
      </c>
      <c r="L108" s="8" t="str">
        <f aca="false">IF(J108&gt;=3,"Tier 1: Must in 3+ sources",IF(J108=2,"Tier 2: Must in 2 sources",IF(J108=1,"Tier 3: Must in 1 source",IF(COUNTIF(M108:R108,"S")&gt;0,"Tier 4: Should only",IF(COUNTIF(M108:R108,"C")&gt;0,"Tier 5: Could only",IF(I108&gt;0,"Tier 6: stated, no priority","Aurigo-only"))))))</f>
        <v>Tier 3: Must in 1 source</v>
      </c>
      <c r="M108" s="12"/>
      <c r="N108" s="12" t="s">
        <v>194</v>
      </c>
      <c r="O108" s="12"/>
      <c r="P108" s="12"/>
      <c r="Q108" s="12"/>
      <c r="R108" s="12"/>
      <c r="S108" s="8" t="s">
        <v>747</v>
      </c>
      <c r="T108" s="8"/>
      <c r="U108" s="8"/>
      <c r="V108" s="8" t="s">
        <v>227</v>
      </c>
      <c r="W108" s="8" t="s">
        <v>748</v>
      </c>
      <c r="X108" s="8"/>
      <c r="Y108" s="8"/>
      <c r="Z108" s="7" t="s">
        <v>99</v>
      </c>
      <c r="AA108" s="8" t="s">
        <v>100</v>
      </c>
      <c r="AB108" s="9" t="n">
        <v>230</v>
      </c>
      <c r="AC108" s="8" t="s">
        <v>749</v>
      </c>
    </row>
    <row r="109" customFormat="false" ht="24.75" hidden="false" customHeight="true" outlineLevel="0" collapsed="false">
      <c r="A109" s="12" t="s">
        <v>750</v>
      </c>
      <c r="B109" s="8" t="s">
        <v>188</v>
      </c>
      <c r="C109" s="8" t="s">
        <v>718</v>
      </c>
      <c r="D109" s="8" t="s">
        <v>719</v>
      </c>
      <c r="E109" s="8" t="s">
        <v>751</v>
      </c>
      <c r="F109" s="8" t="s">
        <v>752</v>
      </c>
      <c r="G109" s="8" t="s">
        <v>193</v>
      </c>
      <c r="H109" s="8" t="str">
        <f aca="false">IF(COUNTIF(M109:R109,"M")&gt;0,"Must Have",IF(COUNTIF(M109:R109,"S")&gt;0,"Should Have",IF(COUNTIF(M109:R109,"C")&gt;0,"Could Have",IF(COUNTA(M109:R109)&gt;0,"Stated – no priority","Aurigo-only (no RFP source)"))))</f>
        <v>Aurigo-only (no RFP source)</v>
      </c>
      <c r="I109" s="12" t="n">
        <f aca="false">COUNTA(M109:R109)</f>
        <v>0</v>
      </c>
      <c r="J109" s="12" t="n">
        <f aca="false">COUNTIF(M109:R109,"M")</f>
        <v>0</v>
      </c>
      <c r="K109" s="8" t="str">
        <f aca="false">IF(I109=0,"Aurigo-only",IF(I109=1,"Single source",IF(I109=2,"Two sources",IF(I109&lt;=4,"Common (3-4)","Broad (5+)"))))</f>
        <v>Aurigo-only</v>
      </c>
      <c r="L109" s="8" t="str">
        <f aca="false">IF(J109&gt;=3,"Tier 1: Must in 3+ sources",IF(J109=2,"Tier 2: Must in 2 sources",IF(J109=1,"Tier 3: Must in 1 source",IF(COUNTIF(M109:R109,"S")&gt;0,"Tier 4: Should only",IF(COUNTIF(M109:R109,"C")&gt;0,"Tier 5: Could only",IF(I109&gt;0,"Tier 6: stated, no priority","Aurigo-only"))))))</f>
        <v>Aurigo-only</v>
      </c>
      <c r="M109" s="12"/>
      <c r="N109" s="12"/>
      <c r="O109" s="12"/>
      <c r="P109" s="12"/>
      <c r="Q109" s="12"/>
      <c r="R109" s="12"/>
      <c r="S109" s="8"/>
      <c r="T109" s="8"/>
      <c r="U109" s="8"/>
      <c r="V109" s="8" t="s">
        <v>197</v>
      </c>
      <c r="W109" s="8" t="s">
        <v>753</v>
      </c>
      <c r="X109" s="8" t="s">
        <v>254</v>
      </c>
      <c r="Y109" s="8"/>
      <c r="Z109" s="7" t="s">
        <v>96</v>
      </c>
      <c r="AA109" s="8" t="s">
        <v>97</v>
      </c>
      <c r="AB109" s="9" t="n">
        <v>221</v>
      </c>
      <c r="AC109" s="8" t="s">
        <v>717</v>
      </c>
    </row>
    <row r="110" customFormat="false" ht="75" hidden="false" customHeight="true" outlineLevel="0" collapsed="false">
      <c r="A110" s="12" t="s">
        <v>754</v>
      </c>
      <c r="B110" s="8" t="s">
        <v>188</v>
      </c>
      <c r="C110" s="8" t="s">
        <v>755</v>
      </c>
      <c r="D110" s="8" t="s">
        <v>756</v>
      </c>
      <c r="E110" s="8" t="s">
        <v>757</v>
      </c>
      <c r="F110" s="8" t="s">
        <v>758</v>
      </c>
      <c r="G110" s="8" t="s">
        <v>193</v>
      </c>
      <c r="H110" s="8" t="str">
        <f aca="false">IF(COUNTIF(M110:R110,"M")&gt;0,"Must Have",IF(COUNTIF(M110:R110,"S")&gt;0,"Should Have",IF(COUNTIF(M110:R110,"C")&gt;0,"Could Have",IF(COUNTA(M110:R110)&gt;0,"Stated – no priority","Aurigo-only (no RFP source)"))))</f>
        <v>Must Have</v>
      </c>
      <c r="I110" s="12" t="n">
        <f aca="false">COUNTA(M110:R110)</f>
        <v>3</v>
      </c>
      <c r="J110" s="12" t="n">
        <f aca="false">COUNTIF(M110:R110,"M")</f>
        <v>2</v>
      </c>
      <c r="K110" s="8" t="str">
        <f aca="false">IF(I110=0,"Aurigo-only",IF(I110=1,"Single source",IF(I110=2,"Two sources",IF(I110&lt;=4,"Common (3-4)","Broad (5+)"))))</f>
        <v>Common (3-4)</v>
      </c>
      <c r="L110" s="8" t="str">
        <f aca="false">IF(J110&gt;=3,"Tier 1: Must in 3+ sources",IF(J110=2,"Tier 2: Must in 2 sources",IF(J110=1,"Tier 3: Must in 1 source",IF(COUNTIF(M110:R110,"S")&gt;0,"Tier 4: Should only",IF(COUNTIF(M110:R110,"C")&gt;0,"Tier 5: Could only",IF(I110&gt;0,"Tier 6: stated, no priority","Aurigo-only"))))))</f>
        <v>Tier 2: Must in 2 sources</v>
      </c>
      <c r="M110" s="12" t="s">
        <v>194</v>
      </c>
      <c r="N110" s="12" t="s">
        <v>194</v>
      </c>
      <c r="O110" s="12"/>
      <c r="P110" s="12" t="s">
        <v>195</v>
      </c>
      <c r="Q110" s="12"/>
      <c r="R110" s="12"/>
      <c r="S110" s="8" t="s">
        <v>759</v>
      </c>
      <c r="T110" s="8"/>
      <c r="U110" s="8"/>
      <c r="V110" s="8" t="s">
        <v>227</v>
      </c>
      <c r="W110" s="8" t="s">
        <v>760</v>
      </c>
      <c r="X110" s="8"/>
      <c r="Y110" s="8"/>
      <c r="Z110" s="7" t="s">
        <v>70</v>
      </c>
      <c r="AA110" s="8" t="s">
        <v>71</v>
      </c>
      <c r="AB110" s="9" t="n">
        <v>153</v>
      </c>
      <c r="AC110" s="8" t="s">
        <v>544</v>
      </c>
    </row>
    <row r="111" customFormat="false" ht="49.5" hidden="false" customHeight="true" outlineLevel="0" collapsed="false">
      <c r="A111" s="12" t="s">
        <v>761</v>
      </c>
      <c r="B111" s="8" t="s">
        <v>188</v>
      </c>
      <c r="C111" s="8" t="s">
        <v>755</v>
      </c>
      <c r="D111" s="8" t="s">
        <v>762</v>
      </c>
      <c r="E111" s="8" t="s">
        <v>763</v>
      </c>
      <c r="F111" s="8" t="s">
        <v>764</v>
      </c>
      <c r="G111" s="8" t="s">
        <v>193</v>
      </c>
      <c r="H111" s="8" t="str">
        <f aca="false">IF(COUNTIF(M111:R111,"M")&gt;0,"Must Have",IF(COUNTIF(M111:R111,"S")&gt;0,"Should Have",IF(COUNTIF(M111:R111,"C")&gt;0,"Could Have",IF(COUNTA(M111:R111)&gt;0,"Stated – no priority","Aurigo-only (no RFP source)"))))</f>
        <v>Must Have</v>
      </c>
      <c r="I111" s="12" t="n">
        <f aca="false">COUNTA(M111:R111)</f>
        <v>2</v>
      </c>
      <c r="J111" s="12" t="n">
        <f aca="false">COUNTIF(M111:R111,"M")</f>
        <v>2</v>
      </c>
      <c r="K111" s="8" t="str">
        <f aca="false">IF(I111=0,"Aurigo-only",IF(I111=1,"Single source",IF(I111=2,"Two sources",IF(I111&lt;=4,"Common (3-4)","Broad (5+)"))))</f>
        <v>Two sources</v>
      </c>
      <c r="L111" s="8" t="str">
        <f aca="false">IF(J111&gt;=3,"Tier 1: Must in 3+ sources",IF(J111=2,"Tier 2: Must in 2 sources",IF(J111=1,"Tier 3: Must in 1 source",IF(COUNTIF(M111:R111,"S")&gt;0,"Tier 4: Should only",IF(COUNTIF(M111:R111,"C")&gt;0,"Tier 5: Could only",IF(I111&gt;0,"Tier 6: stated, no priority","Aurigo-only"))))))</f>
        <v>Tier 2: Must in 2 sources</v>
      </c>
      <c r="M111" s="12" t="s">
        <v>194</v>
      </c>
      <c r="N111" s="12" t="s">
        <v>194</v>
      </c>
      <c r="O111" s="12"/>
      <c r="P111" s="12"/>
      <c r="Q111" s="12"/>
      <c r="R111" s="12"/>
      <c r="S111" s="8" t="s">
        <v>765</v>
      </c>
      <c r="T111" s="8"/>
      <c r="U111" s="8"/>
      <c r="V111" s="8" t="s">
        <v>204</v>
      </c>
      <c r="W111" s="8" t="s">
        <v>205</v>
      </c>
      <c r="X111" s="8"/>
      <c r="Y111" s="8"/>
      <c r="Z111" s="7" t="s">
        <v>70</v>
      </c>
      <c r="AA111" s="8" t="s">
        <v>71</v>
      </c>
      <c r="AB111" s="9" t="n">
        <v>154</v>
      </c>
      <c r="AC111" s="8" t="s">
        <v>766</v>
      </c>
    </row>
    <row r="112" customFormat="false" ht="24.75" hidden="false" customHeight="true" outlineLevel="0" collapsed="false">
      <c r="A112" s="12" t="s">
        <v>767</v>
      </c>
      <c r="B112" s="8" t="s">
        <v>188</v>
      </c>
      <c r="C112" s="8" t="s">
        <v>755</v>
      </c>
      <c r="D112" s="8" t="s">
        <v>762</v>
      </c>
      <c r="E112" s="8" t="s">
        <v>768</v>
      </c>
      <c r="F112" s="8" t="s">
        <v>769</v>
      </c>
      <c r="G112" s="8" t="s">
        <v>193</v>
      </c>
      <c r="H112" s="8" t="str">
        <f aca="false">IF(COUNTIF(M112:R112,"M")&gt;0,"Must Have",IF(COUNTIF(M112:R112,"S")&gt;0,"Should Have",IF(COUNTIF(M112:R112,"C")&gt;0,"Could Have",IF(COUNTA(M112:R112)&gt;0,"Stated – no priority","Aurigo-only (no RFP source)"))))</f>
        <v>Must Have</v>
      </c>
      <c r="I112" s="12" t="n">
        <f aca="false">COUNTA(M112:R112)</f>
        <v>1</v>
      </c>
      <c r="J112" s="12" t="n">
        <f aca="false">COUNTIF(M112:R112,"M")</f>
        <v>1</v>
      </c>
      <c r="K112" s="8" t="str">
        <f aca="false">IF(I112=0,"Aurigo-only",IF(I112=1,"Single source",IF(I112=2,"Two sources",IF(I112&lt;=4,"Common (3-4)","Broad (5+)"))))</f>
        <v>Single source</v>
      </c>
      <c r="L112" s="8" t="str">
        <f aca="false">IF(J112&gt;=3,"Tier 1: Must in 3+ sources",IF(J112=2,"Tier 2: Must in 2 sources",IF(J112=1,"Tier 3: Must in 1 source",IF(COUNTIF(M112:R112,"S")&gt;0,"Tier 4: Should only",IF(COUNTIF(M112:R112,"C")&gt;0,"Tier 5: Could only",IF(I112&gt;0,"Tier 6: stated, no priority","Aurigo-only"))))))</f>
        <v>Tier 3: Must in 1 source</v>
      </c>
      <c r="M112" s="12"/>
      <c r="N112" s="12" t="s">
        <v>194</v>
      </c>
      <c r="O112" s="12"/>
      <c r="P112" s="12"/>
      <c r="Q112" s="12"/>
      <c r="R112" s="12"/>
      <c r="S112" s="8" t="s">
        <v>770</v>
      </c>
      <c r="T112" s="8"/>
      <c r="U112" s="8"/>
      <c r="V112" s="8" t="s">
        <v>204</v>
      </c>
      <c r="W112" s="8" t="s">
        <v>205</v>
      </c>
      <c r="X112" s="8"/>
      <c r="Y112" s="8"/>
      <c r="Z112" s="7" t="s">
        <v>70</v>
      </c>
      <c r="AA112" s="8" t="s">
        <v>71</v>
      </c>
      <c r="AB112" s="9" t="n">
        <v>159</v>
      </c>
      <c r="AC112" s="8" t="s">
        <v>761</v>
      </c>
    </row>
    <row r="113" customFormat="false" ht="62.25" hidden="false" customHeight="true" outlineLevel="0" collapsed="false">
      <c r="A113" s="12" t="s">
        <v>771</v>
      </c>
      <c r="B113" s="8" t="s">
        <v>188</v>
      </c>
      <c r="C113" s="8" t="s">
        <v>755</v>
      </c>
      <c r="D113" s="8" t="s">
        <v>762</v>
      </c>
      <c r="E113" s="8" t="s">
        <v>772</v>
      </c>
      <c r="F113" s="8" t="s">
        <v>773</v>
      </c>
      <c r="G113" s="8" t="s">
        <v>193</v>
      </c>
      <c r="H113" s="8" t="str">
        <f aca="false">IF(COUNTIF(M113:R113,"M")&gt;0,"Must Have",IF(COUNTIF(M113:R113,"S")&gt;0,"Should Have",IF(COUNTIF(M113:R113,"C")&gt;0,"Could Have",IF(COUNTA(M113:R113)&gt;0,"Stated – no priority","Aurigo-only (no RFP source)"))))</f>
        <v>Must Have</v>
      </c>
      <c r="I113" s="12" t="n">
        <f aca="false">COUNTA(M113:R113)</f>
        <v>2</v>
      </c>
      <c r="J113" s="12" t="n">
        <f aca="false">COUNTIF(M113:R113,"M")</f>
        <v>2</v>
      </c>
      <c r="K113" s="8" t="str">
        <f aca="false">IF(I113=0,"Aurigo-only",IF(I113=1,"Single source",IF(I113=2,"Two sources",IF(I113&lt;=4,"Common (3-4)","Broad (5+)"))))</f>
        <v>Two sources</v>
      </c>
      <c r="L113" s="8" t="str">
        <f aca="false">IF(J113&gt;=3,"Tier 1: Must in 3+ sources",IF(J113=2,"Tier 2: Must in 2 sources",IF(J113=1,"Tier 3: Must in 1 source",IF(COUNTIF(M113:R113,"S")&gt;0,"Tier 4: Should only",IF(COUNTIF(M113:R113,"C")&gt;0,"Tier 5: Could only",IF(I113&gt;0,"Tier 6: stated, no priority","Aurigo-only"))))))</f>
        <v>Tier 2: Must in 2 sources</v>
      </c>
      <c r="M113" s="12"/>
      <c r="N113" s="12" t="s">
        <v>194</v>
      </c>
      <c r="O113" s="12"/>
      <c r="P113" s="12"/>
      <c r="Q113" s="12" t="s">
        <v>194</v>
      </c>
      <c r="R113" s="12"/>
      <c r="S113" s="8" t="s">
        <v>774</v>
      </c>
      <c r="T113" s="8"/>
      <c r="U113" s="8"/>
      <c r="V113" s="8" t="s">
        <v>204</v>
      </c>
      <c r="W113" s="8" t="s">
        <v>205</v>
      </c>
      <c r="X113" s="8"/>
      <c r="Y113" s="8"/>
      <c r="Z113" s="7" t="s">
        <v>70</v>
      </c>
      <c r="AA113" s="8" t="s">
        <v>71</v>
      </c>
      <c r="AB113" s="9" t="n">
        <v>156</v>
      </c>
      <c r="AC113" s="8" t="s">
        <v>775</v>
      </c>
    </row>
    <row r="114" customFormat="false" ht="62.25" hidden="false" customHeight="true" outlineLevel="0" collapsed="false">
      <c r="A114" s="12" t="s">
        <v>776</v>
      </c>
      <c r="B114" s="8" t="s">
        <v>188</v>
      </c>
      <c r="C114" s="8" t="s">
        <v>755</v>
      </c>
      <c r="D114" s="8" t="s">
        <v>777</v>
      </c>
      <c r="E114" s="8" t="s">
        <v>778</v>
      </c>
      <c r="F114" s="8" t="s">
        <v>779</v>
      </c>
      <c r="G114" s="8" t="s">
        <v>397</v>
      </c>
      <c r="H114" s="8" t="str">
        <f aca="false">IF(COUNTIF(M114:R114,"M")&gt;0,"Must Have",IF(COUNTIF(M114:R114,"S")&gt;0,"Should Have",IF(COUNTIF(M114:R114,"C")&gt;0,"Could Have",IF(COUNTA(M114:R114)&gt;0,"Stated – no priority","Aurigo-only (no RFP source)"))))</f>
        <v>Must Have</v>
      </c>
      <c r="I114" s="12" t="n">
        <f aca="false">COUNTA(M114:R114)</f>
        <v>2</v>
      </c>
      <c r="J114" s="12" t="n">
        <f aca="false">COUNTIF(M114:R114,"M")</f>
        <v>2</v>
      </c>
      <c r="K114" s="8" t="str">
        <f aca="false">IF(I114=0,"Aurigo-only",IF(I114=1,"Single source",IF(I114=2,"Two sources",IF(I114&lt;=4,"Common (3-4)","Broad (5+)"))))</f>
        <v>Two sources</v>
      </c>
      <c r="L114" s="8" t="str">
        <f aca="false">IF(J114&gt;=3,"Tier 1: Must in 3+ sources",IF(J114=2,"Tier 2: Must in 2 sources",IF(J114=1,"Tier 3: Must in 1 source",IF(COUNTIF(M114:R114,"S")&gt;0,"Tier 4: Should only",IF(COUNTIF(M114:R114,"C")&gt;0,"Tier 5: Could only",IF(I114&gt;0,"Tier 6: stated, no priority","Aurigo-only"))))))</f>
        <v>Tier 2: Must in 2 sources</v>
      </c>
      <c r="M114" s="12" t="s">
        <v>194</v>
      </c>
      <c r="N114" s="12" t="s">
        <v>194</v>
      </c>
      <c r="O114" s="12"/>
      <c r="P114" s="12"/>
      <c r="Q114" s="12"/>
      <c r="R114" s="12"/>
      <c r="S114" s="8" t="s">
        <v>780</v>
      </c>
      <c r="T114" s="8"/>
      <c r="U114" s="8" t="s">
        <v>781</v>
      </c>
      <c r="V114" s="8" t="s">
        <v>204</v>
      </c>
      <c r="W114" s="8" t="s">
        <v>205</v>
      </c>
      <c r="X114" s="8" t="s">
        <v>782</v>
      </c>
      <c r="Y114" s="8"/>
      <c r="Z114" s="7" t="s">
        <v>132</v>
      </c>
      <c r="AA114" s="8" t="s">
        <v>133</v>
      </c>
      <c r="AB114" s="9" t="n">
        <v>304</v>
      </c>
      <c r="AC114" s="8" t="s">
        <v>783</v>
      </c>
    </row>
    <row r="115" customFormat="false" ht="37.5" hidden="false" customHeight="true" outlineLevel="0" collapsed="false">
      <c r="A115" s="12" t="s">
        <v>784</v>
      </c>
      <c r="B115" s="8" t="s">
        <v>188</v>
      </c>
      <c r="C115" s="8" t="s">
        <v>755</v>
      </c>
      <c r="D115" s="8" t="s">
        <v>777</v>
      </c>
      <c r="E115" s="8" t="s">
        <v>785</v>
      </c>
      <c r="F115" s="8" t="s">
        <v>786</v>
      </c>
      <c r="G115" s="8" t="s">
        <v>397</v>
      </c>
      <c r="H115" s="8" t="str">
        <f aca="false">IF(COUNTIF(M115:R115,"M")&gt;0,"Must Have",IF(COUNTIF(M115:R115,"S")&gt;0,"Should Have",IF(COUNTIF(M115:R115,"C")&gt;0,"Could Have",IF(COUNTA(M115:R115)&gt;0,"Stated – no priority","Aurigo-only (no RFP source)"))))</f>
        <v>Must Have</v>
      </c>
      <c r="I115" s="12" t="n">
        <f aca="false">COUNTA(M115:R115)</f>
        <v>1</v>
      </c>
      <c r="J115" s="12" t="n">
        <f aca="false">COUNTIF(M115:R115,"M")</f>
        <v>1</v>
      </c>
      <c r="K115" s="8" t="str">
        <f aca="false">IF(I115=0,"Aurigo-only",IF(I115=1,"Single source",IF(I115=2,"Two sources",IF(I115&lt;=4,"Common (3-4)","Broad (5+)"))))</f>
        <v>Single source</v>
      </c>
      <c r="L115" s="8" t="str">
        <f aca="false">IF(J115&gt;=3,"Tier 1: Must in 3+ sources",IF(J115=2,"Tier 2: Must in 2 sources",IF(J115=1,"Tier 3: Must in 1 source",IF(COUNTIF(M115:R115,"S")&gt;0,"Tier 4: Should only",IF(COUNTIF(M115:R115,"C")&gt;0,"Tier 5: Could only",IF(I115&gt;0,"Tier 6: stated, no priority","Aurigo-only"))))))</f>
        <v>Tier 3: Must in 1 source</v>
      </c>
      <c r="M115" s="12" t="s">
        <v>194</v>
      </c>
      <c r="N115" s="12"/>
      <c r="O115" s="12"/>
      <c r="P115" s="12"/>
      <c r="Q115" s="12"/>
      <c r="R115" s="12"/>
      <c r="S115" s="8" t="s">
        <v>787</v>
      </c>
      <c r="T115" s="8"/>
      <c r="U115" s="8" t="s">
        <v>788</v>
      </c>
      <c r="V115" s="8" t="s">
        <v>204</v>
      </c>
      <c r="W115" s="8" t="s">
        <v>205</v>
      </c>
      <c r="X115" s="8" t="s">
        <v>789</v>
      </c>
      <c r="Y115" s="8"/>
      <c r="Z115" s="7" t="s">
        <v>70</v>
      </c>
      <c r="AA115" s="8" t="s">
        <v>71</v>
      </c>
      <c r="AB115" s="9" t="n">
        <v>152</v>
      </c>
      <c r="AC115" s="8" t="s">
        <v>790</v>
      </c>
    </row>
    <row r="116" customFormat="false" ht="37.5" hidden="false" customHeight="true" outlineLevel="0" collapsed="false">
      <c r="A116" s="12" t="s">
        <v>791</v>
      </c>
      <c r="B116" s="8" t="s">
        <v>188</v>
      </c>
      <c r="C116" s="8" t="s">
        <v>755</v>
      </c>
      <c r="D116" s="8" t="s">
        <v>756</v>
      </c>
      <c r="E116" s="8" t="s">
        <v>792</v>
      </c>
      <c r="F116" s="8" t="s">
        <v>793</v>
      </c>
      <c r="G116" s="8" t="s">
        <v>193</v>
      </c>
      <c r="H116" s="8" t="str">
        <f aca="false">IF(COUNTIF(M116:R116,"M")&gt;0,"Must Have",IF(COUNTIF(M116:R116,"S")&gt;0,"Should Have",IF(COUNTIF(M116:R116,"C")&gt;0,"Could Have",IF(COUNTA(M116:R116)&gt;0,"Stated – no priority","Aurigo-only (no RFP source)"))))</f>
        <v>Must Have</v>
      </c>
      <c r="I116" s="12" t="n">
        <f aca="false">COUNTA(M116:R116)</f>
        <v>1</v>
      </c>
      <c r="J116" s="12" t="n">
        <f aca="false">COUNTIF(M116:R116,"M")</f>
        <v>1</v>
      </c>
      <c r="K116" s="8" t="str">
        <f aca="false">IF(I116=0,"Aurigo-only",IF(I116=1,"Single source",IF(I116=2,"Two sources",IF(I116&lt;=4,"Common (3-4)","Broad (5+)"))))</f>
        <v>Single source</v>
      </c>
      <c r="L116" s="8" t="str">
        <f aca="false">IF(J116&gt;=3,"Tier 1: Must in 3+ sources",IF(J116=2,"Tier 2: Must in 2 sources",IF(J116=1,"Tier 3: Must in 1 source",IF(COUNTIF(M116:R116,"S")&gt;0,"Tier 4: Should only",IF(COUNTIF(M116:R116,"C")&gt;0,"Tier 5: Could only",IF(I116&gt;0,"Tier 6: stated, no priority","Aurigo-only"))))))</f>
        <v>Tier 3: Must in 1 source</v>
      </c>
      <c r="M116" s="12" t="s">
        <v>194</v>
      </c>
      <c r="N116" s="12"/>
      <c r="O116" s="12"/>
      <c r="P116" s="12"/>
      <c r="Q116" s="12"/>
      <c r="R116" s="12"/>
      <c r="S116" s="8" t="s">
        <v>794</v>
      </c>
      <c r="T116" s="8" t="s">
        <v>795</v>
      </c>
      <c r="U116" s="8"/>
      <c r="V116" s="8" t="s">
        <v>197</v>
      </c>
      <c r="W116" s="8" t="s">
        <v>796</v>
      </c>
      <c r="X116" s="8"/>
      <c r="Y116" s="8"/>
      <c r="Z116" s="7" t="s">
        <v>70</v>
      </c>
      <c r="AA116" s="8" t="s">
        <v>71</v>
      </c>
      <c r="AB116" s="9" t="n">
        <v>163</v>
      </c>
      <c r="AC116" s="8" t="s">
        <v>754</v>
      </c>
    </row>
    <row r="117" customFormat="false" ht="24.75" hidden="false" customHeight="true" outlineLevel="0" collapsed="false">
      <c r="A117" s="12" t="s">
        <v>797</v>
      </c>
      <c r="B117" s="8" t="s">
        <v>188</v>
      </c>
      <c r="C117" s="8" t="s">
        <v>755</v>
      </c>
      <c r="D117" s="8" t="s">
        <v>756</v>
      </c>
      <c r="E117" s="8" t="s">
        <v>798</v>
      </c>
      <c r="F117" s="8" t="s">
        <v>799</v>
      </c>
      <c r="G117" s="8" t="s">
        <v>370</v>
      </c>
      <c r="H117" s="8" t="str">
        <f aca="false">IF(COUNTIF(M117:R117,"M")&gt;0,"Must Have",IF(COUNTIF(M117:R117,"S")&gt;0,"Should Have",IF(COUNTIF(M117:R117,"C")&gt;0,"Could Have",IF(COUNTA(M117:R117)&gt;0,"Stated – no priority","Aurigo-only (no RFP source)"))))</f>
        <v>Must Have</v>
      </c>
      <c r="I117" s="12" t="n">
        <f aca="false">COUNTA(M117:R117)</f>
        <v>1</v>
      </c>
      <c r="J117" s="12" t="n">
        <f aca="false">COUNTIF(M117:R117,"M")</f>
        <v>1</v>
      </c>
      <c r="K117" s="8" t="str">
        <f aca="false">IF(I117=0,"Aurigo-only",IF(I117=1,"Single source",IF(I117=2,"Two sources",IF(I117&lt;=4,"Common (3-4)","Broad (5+)"))))</f>
        <v>Single source</v>
      </c>
      <c r="L117" s="8" t="str">
        <f aca="false">IF(J117&gt;=3,"Tier 1: Must in 3+ sources",IF(J117=2,"Tier 2: Must in 2 sources",IF(J117=1,"Tier 3: Must in 1 source",IF(COUNTIF(M117:R117,"S")&gt;0,"Tier 4: Should only",IF(COUNTIF(M117:R117,"C")&gt;0,"Tier 5: Could only",IF(I117&gt;0,"Tier 6: stated, no priority","Aurigo-only"))))))</f>
        <v>Tier 3: Must in 1 source</v>
      </c>
      <c r="M117" s="12" t="s">
        <v>194</v>
      </c>
      <c r="N117" s="12"/>
      <c r="O117" s="12"/>
      <c r="P117" s="12"/>
      <c r="Q117" s="12"/>
      <c r="R117" s="12"/>
      <c r="S117" s="8" t="s">
        <v>800</v>
      </c>
      <c r="T117" s="8"/>
      <c r="U117" s="8"/>
      <c r="V117" s="8" t="s">
        <v>204</v>
      </c>
      <c r="W117" s="8" t="s">
        <v>205</v>
      </c>
      <c r="X117" s="8"/>
      <c r="Y117" s="8"/>
      <c r="Z117" s="7" t="s">
        <v>70</v>
      </c>
      <c r="AA117" s="8" t="s">
        <v>71</v>
      </c>
      <c r="AB117" s="9" t="n">
        <v>164</v>
      </c>
      <c r="AC117" s="8" t="s">
        <v>801</v>
      </c>
    </row>
    <row r="118" customFormat="false" ht="49.5" hidden="false" customHeight="true" outlineLevel="0" collapsed="false">
      <c r="A118" s="12" t="s">
        <v>802</v>
      </c>
      <c r="B118" s="8" t="s">
        <v>188</v>
      </c>
      <c r="C118" s="8" t="s">
        <v>755</v>
      </c>
      <c r="D118" s="8" t="s">
        <v>362</v>
      </c>
      <c r="E118" s="8" t="s">
        <v>803</v>
      </c>
      <c r="F118" s="8" t="s">
        <v>804</v>
      </c>
      <c r="G118" s="8" t="s">
        <v>193</v>
      </c>
      <c r="H118" s="8" t="str">
        <f aca="false">IF(COUNTIF(M118:R118,"M")&gt;0,"Must Have",IF(COUNTIF(M118:R118,"S")&gt;0,"Should Have",IF(COUNTIF(M118:R118,"C")&gt;0,"Could Have",IF(COUNTA(M118:R118)&gt;0,"Stated – no priority","Aurigo-only (no RFP source)"))))</f>
        <v>Must Have</v>
      </c>
      <c r="I118" s="12" t="n">
        <f aca="false">COUNTA(M118:R118)</f>
        <v>2</v>
      </c>
      <c r="J118" s="12" t="n">
        <f aca="false">COUNTIF(M118:R118,"M")</f>
        <v>1</v>
      </c>
      <c r="K118" s="8" t="str">
        <f aca="false">IF(I118=0,"Aurigo-only",IF(I118=1,"Single source",IF(I118=2,"Two sources",IF(I118&lt;=4,"Common (3-4)","Broad (5+)"))))</f>
        <v>Two sources</v>
      </c>
      <c r="L118" s="8" t="str">
        <f aca="false">IF(J118&gt;=3,"Tier 1: Must in 3+ sources",IF(J118=2,"Tier 2: Must in 2 sources",IF(J118=1,"Tier 3: Must in 1 source",IF(COUNTIF(M118:R118,"S")&gt;0,"Tier 4: Should only",IF(COUNTIF(M118:R118,"C")&gt;0,"Tier 5: Could only",IF(I118&gt;0,"Tier 6: stated, no priority","Aurigo-only"))))))</f>
        <v>Tier 3: Must in 1 source</v>
      </c>
      <c r="M118" s="12"/>
      <c r="N118" s="12" t="s">
        <v>194</v>
      </c>
      <c r="O118" s="12"/>
      <c r="P118" s="12" t="s">
        <v>195</v>
      </c>
      <c r="Q118" s="12"/>
      <c r="R118" s="12"/>
      <c r="S118" s="8" t="s">
        <v>805</v>
      </c>
      <c r="T118" s="8"/>
      <c r="U118" s="8"/>
      <c r="V118" s="8" t="s">
        <v>197</v>
      </c>
      <c r="W118" s="8" t="s">
        <v>806</v>
      </c>
      <c r="X118" s="8"/>
      <c r="Y118" s="8"/>
      <c r="Z118" s="7" t="s">
        <v>70</v>
      </c>
      <c r="AA118" s="8" t="s">
        <v>71</v>
      </c>
      <c r="AB118" s="9" t="n">
        <v>157</v>
      </c>
      <c r="AC118" s="8" t="s">
        <v>761</v>
      </c>
    </row>
    <row r="119" customFormat="false" ht="49.5" hidden="false" customHeight="true" outlineLevel="0" collapsed="false">
      <c r="A119" s="12" t="s">
        <v>807</v>
      </c>
      <c r="B119" s="8" t="s">
        <v>188</v>
      </c>
      <c r="C119" s="8" t="s">
        <v>755</v>
      </c>
      <c r="D119" s="8" t="s">
        <v>777</v>
      </c>
      <c r="E119" s="8" t="s">
        <v>808</v>
      </c>
      <c r="F119" s="8" t="s">
        <v>809</v>
      </c>
      <c r="G119" s="8" t="s">
        <v>397</v>
      </c>
      <c r="H119" s="8" t="str">
        <f aca="false">IF(COUNTIF(M119:R119,"M")&gt;0,"Must Have",IF(COUNTIF(M119:R119,"S")&gt;0,"Should Have",IF(COUNTIF(M119:R119,"C")&gt;0,"Could Have",IF(COUNTA(M119:R119)&gt;0,"Stated – no priority","Aurigo-only (no RFP source)"))))</f>
        <v>Could Have</v>
      </c>
      <c r="I119" s="12" t="n">
        <f aca="false">COUNTA(M119:R119)</f>
        <v>1</v>
      </c>
      <c r="J119" s="12" t="n">
        <f aca="false">COUNTIF(M119:R119,"M")</f>
        <v>0</v>
      </c>
      <c r="K119" s="8" t="str">
        <f aca="false">IF(I119=0,"Aurigo-only",IF(I119=1,"Single source",IF(I119=2,"Two sources",IF(I119&lt;=4,"Common (3-4)","Broad (5+)"))))</f>
        <v>Single source</v>
      </c>
      <c r="L119" s="8" t="str">
        <f aca="false">IF(J119&gt;=3,"Tier 1: Must in 3+ sources",IF(J119=2,"Tier 2: Must in 2 sources",IF(J119=1,"Tier 3: Must in 1 source",IF(COUNTIF(M119:R119,"S")&gt;0,"Tier 4: Should only",IF(COUNTIF(M119:R119,"C")&gt;0,"Tier 5: Could only",IF(I119&gt;0,"Tier 6: stated, no priority","Aurigo-only"))))))</f>
        <v>Tier 5: Could only</v>
      </c>
      <c r="M119" s="12"/>
      <c r="N119" s="12" t="s">
        <v>810</v>
      </c>
      <c r="O119" s="12"/>
      <c r="P119" s="12"/>
      <c r="Q119" s="12"/>
      <c r="R119" s="12"/>
      <c r="S119" s="8" t="s">
        <v>811</v>
      </c>
      <c r="T119" s="8"/>
      <c r="U119" s="8" t="s">
        <v>812</v>
      </c>
      <c r="V119" s="8" t="s">
        <v>204</v>
      </c>
      <c r="W119" s="8" t="s">
        <v>205</v>
      </c>
      <c r="X119" s="8" t="s">
        <v>813</v>
      </c>
      <c r="Y119" s="8"/>
      <c r="Z119" s="7" t="s">
        <v>70</v>
      </c>
      <c r="AA119" s="8" t="s">
        <v>71</v>
      </c>
      <c r="AB119" s="9" t="n">
        <v>160</v>
      </c>
      <c r="AC119" s="8" t="s">
        <v>814</v>
      </c>
    </row>
    <row r="120" customFormat="false" ht="112.5" hidden="false" customHeight="true" outlineLevel="0" collapsed="false">
      <c r="A120" s="12" t="s">
        <v>815</v>
      </c>
      <c r="B120" s="8" t="s">
        <v>816</v>
      </c>
      <c r="C120" s="8" t="s">
        <v>817</v>
      </c>
      <c r="D120" s="8" t="s">
        <v>818</v>
      </c>
      <c r="E120" s="8" t="s">
        <v>819</v>
      </c>
      <c r="F120" s="8" t="s">
        <v>820</v>
      </c>
      <c r="G120" s="8" t="s">
        <v>193</v>
      </c>
      <c r="H120" s="8" t="str">
        <f aca="false">IF(COUNTIF(M120:R120,"M")&gt;0,"Must Have",IF(COUNTIF(M120:R120,"S")&gt;0,"Should Have",IF(COUNTIF(M120:R120,"C")&gt;0,"Could Have",IF(COUNTA(M120:R120)&gt;0,"Stated – no priority","Aurigo-only (no RFP source)"))))</f>
        <v>Must Have</v>
      </c>
      <c r="I120" s="12" t="n">
        <f aca="false">COUNTA(M120:R120)</f>
        <v>5</v>
      </c>
      <c r="J120" s="12" t="n">
        <f aca="false">COUNTIF(M120:R120,"M")</f>
        <v>5</v>
      </c>
      <c r="K120" s="8" t="str">
        <f aca="false">IF(I120=0,"Aurigo-only",IF(I120=1,"Single source",IF(I120=2,"Two sources",IF(I120&lt;=4,"Common (3-4)","Broad (5+)"))))</f>
        <v>Broad (5+)</v>
      </c>
      <c r="L120" s="8" t="str">
        <f aca="false">IF(J120&gt;=3,"Tier 1: Must in 3+ sources",IF(J120=2,"Tier 2: Must in 2 sources",IF(J120=1,"Tier 3: Must in 1 source",IF(COUNTIF(M120:R120,"S")&gt;0,"Tier 4: Should only",IF(COUNTIF(M120:R120,"C")&gt;0,"Tier 5: Could only",IF(I120&gt;0,"Tier 6: stated, no priority","Aurigo-only"))))))</f>
        <v>Tier 1: Must in 3+ sources</v>
      </c>
      <c r="M120" s="12" t="s">
        <v>194</v>
      </c>
      <c r="N120" s="12" t="s">
        <v>194</v>
      </c>
      <c r="O120" s="12" t="s">
        <v>194</v>
      </c>
      <c r="P120" s="12"/>
      <c r="Q120" s="12" t="s">
        <v>194</v>
      </c>
      <c r="R120" s="12" t="s">
        <v>194</v>
      </c>
      <c r="S120" s="8" t="s">
        <v>821</v>
      </c>
      <c r="T120" s="8"/>
      <c r="U120" s="8"/>
      <c r="V120" s="8" t="s">
        <v>197</v>
      </c>
      <c r="W120" s="8" t="s">
        <v>822</v>
      </c>
      <c r="X120" s="8" t="s">
        <v>823</v>
      </c>
      <c r="Y120" s="8"/>
      <c r="Z120" s="7" t="s">
        <v>108</v>
      </c>
      <c r="AA120" s="8" t="s">
        <v>109</v>
      </c>
      <c r="AB120" s="9" t="n">
        <v>244</v>
      </c>
      <c r="AC120" s="8" t="s">
        <v>824</v>
      </c>
    </row>
    <row r="121" customFormat="false" ht="37.5" hidden="false" customHeight="true" outlineLevel="0" collapsed="false">
      <c r="A121" s="12" t="s">
        <v>825</v>
      </c>
      <c r="B121" s="8" t="s">
        <v>816</v>
      </c>
      <c r="C121" s="8" t="s">
        <v>817</v>
      </c>
      <c r="D121" s="8" t="s">
        <v>818</v>
      </c>
      <c r="E121" s="8" t="s">
        <v>826</v>
      </c>
      <c r="F121" s="8" t="s">
        <v>827</v>
      </c>
      <c r="G121" s="8" t="s">
        <v>193</v>
      </c>
      <c r="H121" s="8" t="str">
        <f aca="false">IF(COUNTIF(M121:R121,"M")&gt;0,"Must Have",IF(COUNTIF(M121:R121,"S")&gt;0,"Should Have",IF(COUNTIF(M121:R121,"C")&gt;0,"Could Have",IF(COUNTA(M121:R121)&gt;0,"Stated – no priority","Aurigo-only (no RFP source)"))))</f>
        <v>Must Have</v>
      </c>
      <c r="I121" s="12" t="n">
        <f aca="false">COUNTA(M121:R121)</f>
        <v>2</v>
      </c>
      <c r="J121" s="12" t="n">
        <f aca="false">COUNTIF(M121:R121,"M")</f>
        <v>2</v>
      </c>
      <c r="K121" s="8" t="str">
        <f aca="false">IF(I121=0,"Aurigo-only",IF(I121=1,"Single source",IF(I121=2,"Two sources",IF(I121&lt;=4,"Common (3-4)","Broad (5+)"))))</f>
        <v>Two sources</v>
      </c>
      <c r="L121" s="8" t="str">
        <f aca="false">IF(J121&gt;=3,"Tier 1: Must in 3+ sources",IF(J121=2,"Tier 2: Must in 2 sources",IF(J121=1,"Tier 3: Must in 1 source",IF(COUNTIF(M121:R121,"S")&gt;0,"Tier 4: Should only",IF(COUNTIF(M121:R121,"C")&gt;0,"Tier 5: Could only",IF(I121&gt;0,"Tier 6: stated, no priority","Aurigo-only"))))))</f>
        <v>Tier 2: Must in 2 sources</v>
      </c>
      <c r="M121" s="12" t="s">
        <v>194</v>
      </c>
      <c r="N121" s="12" t="s">
        <v>194</v>
      </c>
      <c r="O121" s="12"/>
      <c r="P121" s="12"/>
      <c r="Q121" s="12"/>
      <c r="R121" s="12"/>
      <c r="S121" s="8" t="s">
        <v>828</v>
      </c>
      <c r="T121" s="8"/>
      <c r="U121" s="8"/>
      <c r="V121" s="8" t="s">
        <v>204</v>
      </c>
      <c r="W121" s="8" t="s">
        <v>205</v>
      </c>
      <c r="X121" s="8"/>
      <c r="Y121" s="8"/>
      <c r="Z121" s="7" t="s">
        <v>108</v>
      </c>
      <c r="AA121" s="8" t="s">
        <v>109</v>
      </c>
      <c r="AB121" s="9" t="n">
        <v>245</v>
      </c>
      <c r="AC121" s="8" t="s">
        <v>815</v>
      </c>
    </row>
    <row r="122" customFormat="false" ht="24.75" hidden="false" customHeight="true" outlineLevel="0" collapsed="false">
      <c r="A122" s="12" t="s">
        <v>829</v>
      </c>
      <c r="B122" s="8" t="s">
        <v>816</v>
      </c>
      <c r="C122" s="8" t="s">
        <v>817</v>
      </c>
      <c r="D122" s="8" t="s">
        <v>818</v>
      </c>
      <c r="E122" s="8" t="s">
        <v>830</v>
      </c>
      <c r="F122" s="8" t="s">
        <v>831</v>
      </c>
      <c r="G122" s="8" t="s">
        <v>193</v>
      </c>
      <c r="H122" s="8" t="str">
        <f aca="false">IF(COUNTIF(M122:R122,"M")&gt;0,"Must Have",IF(COUNTIF(M122:R122,"S")&gt;0,"Should Have",IF(COUNTIF(M122:R122,"C")&gt;0,"Could Have",IF(COUNTA(M122:R122)&gt;0,"Stated – no priority","Aurigo-only (no RFP source)"))))</f>
        <v>Stated – no priority</v>
      </c>
      <c r="I122" s="12" t="n">
        <f aca="false">COUNTA(M122:R122)</f>
        <v>1</v>
      </c>
      <c r="J122" s="12" t="n">
        <f aca="false">COUNTIF(M122:R122,"M")</f>
        <v>0</v>
      </c>
      <c r="K122" s="8" t="str">
        <f aca="false">IF(I122=0,"Aurigo-only",IF(I122=1,"Single source",IF(I122=2,"Two sources",IF(I122&lt;=4,"Common (3-4)","Broad (5+)"))))</f>
        <v>Single source</v>
      </c>
      <c r="L122" s="8" t="str">
        <f aca="false">IF(J122&gt;=3,"Tier 1: Must in 3+ sources",IF(J122=2,"Tier 2: Must in 2 sources",IF(J122=1,"Tier 3: Must in 1 source",IF(COUNTIF(M122:R122,"S")&gt;0,"Tier 4: Should only",IF(COUNTIF(M122:R122,"C")&gt;0,"Tier 5: Could only",IF(I122&gt;0,"Tier 6: stated, no priority","Aurigo-only"))))))</f>
        <v>Tier 6: stated, no priority</v>
      </c>
      <c r="M122" s="12"/>
      <c r="N122" s="12"/>
      <c r="O122" s="12"/>
      <c r="P122" s="12" t="s">
        <v>195</v>
      </c>
      <c r="Q122" s="12"/>
      <c r="R122" s="12"/>
      <c r="S122" s="8" t="s">
        <v>832</v>
      </c>
      <c r="T122" s="8"/>
      <c r="U122" s="8"/>
      <c r="V122" s="8" t="s">
        <v>204</v>
      </c>
      <c r="W122" s="8" t="s">
        <v>205</v>
      </c>
      <c r="X122" s="8"/>
      <c r="Y122" s="8"/>
      <c r="Z122" s="7" t="s">
        <v>108</v>
      </c>
      <c r="AA122" s="8" t="s">
        <v>109</v>
      </c>
      <c r="AB122" s="9" t="n">
        <v>250</v>
      </c>
      <c r="AC122" s="8" t="s">
        <v>815</v>
      </c>
    </row>
    <row r="123" customFormat="false" ht="49.5" hidden="false" customHeight="true" outlineLevel="0" collapsed="false">
      <c r="A123" s="12" t="s">
        <v>833</v>
      </c>
      <c r="B123" s="8" t="s">
        <v>816</v>
      </c>
      <c r="C123" s="8" t="s">
        <v>817</v>
      </c>
      <c r="D123" s="8" t="s">
        <v>818</v>
      </c>
      <c r="E123" s="8" t="s">
        <v>834</v>
      </c>
      <c r="F123" s="8" t="s">
        <v>835</v>
      </c>
      <c r="G123" s="8" t="s">
        <v>193</v>
      </c>
      <c r="H123" s="8" t="str">
        <f aca="false">IF(COUNTIF(M123:R123,"M")&gt;0,"Must Have",IF(COUNTIF(M123:R123,"S")&gt;0,"Should Have",IF(COUNTIF(M123:R123,"C")&gt;0,"Could Have",IF(COUNTA(M123:R123)&gt;0,"Stated – no priority","Aurigo-only (no RFP source)"))))</f>
        <v>Must Have</v>
      </c>
      <c r="I123" s="12" t="n">
        <f aca="false">COUNTA(M123:R123)</f>
        <v>2</v>
      </c>
      <c r="J123" s="12" t="n">
        <f aca="false">COUNTIF(M123:R123,"M")</f>
        <v>1</v>
      </c>
      <c r="K123" s="8" t="str">
        <f aca="false">IF(I123=0,"Aurigo-only",IF(I123=1,"Single source",IF(I123=2,"Two sources",IF(I123&lt;=4,"Common (3-4)","Broad (5+)"))))</f>
        <v>Two sources</v>
      </c>
      <c r="L123" s="8" t="str">
        <f aca="false">IF(J123&gt;=3,"Tier 1: Must in 3+ sources",IF(J123=2,"Tier 2: Must in 2 sources",IF(J123=1,"Tier 3: Must in 1 source",IF(COUNTIF(M123:R123,"S")&gt;0,"Tier 4: Should only",IF(COUNTIF(M123:R123,"C")&gt;0,"Tier 5: Could only",IF(I123&gt;0,"Tier 6: stated, no priority","Aurigo-only"))))))</f>
        <v>Tier 3: Must in 1 source</v>
      </c>
      <c r="M123" s="12" t="s">
        <v>232</v>
      </c>
      <c r="N123" s="12" t="s">
        <v>194</v>
      </c>
      <c r="O123" s="12"/>
      <c r="P123" s="12"/>
      <c r="Q123" s="12"/>
      <c r="R123" s="12"/>
      <c r="S123" s="8" t="s">
        <v>836</v>
      </c>
      <c r="T123" s="8"/>
      <c r="U123" s="8"/>
      <c r="V123" s="8" t="s">
        <v>204</v>
      </c>
      <c r="W123" s="8" t="s">
        <v>205</v>
      </c>
      <c r="X123" s="8"/>
      <c r="Y123" s="8"/>
      <c r="Z123" s="7" t="s">
        <v>108</v>
      </c>
      <c r="AA123" s="8" t="s">
        <v>109</v>
      </c>
      <c r="AB123" s="9" t="n">
        <v>248</v>
      </c>
      <c r="AC123" s="8" t="s">
        <v>837</v>
      </c>
    </row>
    <row r="124" customFormat="false" ht="24.75" hidden="false" customHeight="true" outlineLevel="0" collapsed="false">
      <c r="A124" s="12" t="s">
        <v>838</v>
      </c>
      <c r="B124" s="8" t="s">
        <v>816</v>
      </c>
      <c r="C124" s="8" t="s">
        <v>817</v>
      </c>
      <c r="D124" s="8" t="s">
        <v>818</v>
      </c>
      <c r="E124" s="8" t="s">
        <v>839</v>
      </c>
      <c r="F124" s="8" t="s">
        <v>840</v>
      </c>
      <c r="G124" s="8" t="s">
        <v>193</v>
      </c>
      <c r="H124" s="8" t="str">
        <f aca="false">IF(COUNTIF(M124:R124,"M")&gt;0,"Must Have",IF(COUNTIF(M124:R124,"S")&gt;0,"Should Have",IF(COUNTIF(M124:R124,"C")&gt;0,"Could Have",IF(COUNTA(M124:R124)&gt;0,"Stated – no priority","Aurigo-only (no RFP source)"))))</f>
        <v>Must Have</v>
      </c>
      <c r="I124" s="12" t="n">
        <f aca="false">COUNTA(M124:R124)</f>
        <v>1</v>
      </c>
      <c r="J124" s="12" t="n">
        <f aca="false">COUNTIF(M124:R124,"M")</f>
        <v>1</v>
      </c>
      <c r="K124" s="8" t="str">
        <f aca="false">IF(I124=0,"Aurigo-only",IF(I124=1,"Single source",IF(I124=2,"Two sources",IF(I124&lt;=4,"Common (3-4)","Broad (5+)"))))</f>
        <v>Single source</v>
      </c>
      <c r="L124" s="8" t="str">
        <f aca="false">IF(J124&gt;=3,"Tier 1: Must in 3+ sources",IF(J124=2,"Tier 2: Must in 2 sources",IF(J124=1,"Tier 3: Must in 1 source",IF(COUNTIF(M124:R124,"S")&gt;0,"Tier 4: Should only",IF(COUNTIF(M124:R124,"C")&gt;0,"Tier 5: Could only",IF(I124&gt;0,"Tier 6: stated, no priority","Aurigo-only"))))))</f>
        <v>Tier 3: Must in 1 source</v>
      </c>
      <c r="M124" s="12" t="s">
        <v>194</v>
      </c>
      <c r="N124" s="12"/>
      <c r="O124" s="12"/>
      <c r="P124" s="12"/>
      <c r="Q124" s="12"/>
      <c r="R124" s="12"/>
      <c r="S124" s="8" t="s">
        <v>841</v>
      </c>
      <c r="T124" s="8"/>
      <c r="U124" s="8"/>
      <c r="V124" s="8" t="s">
        <v>204</v>
      </c>
      <c r="W124" s="8" t="s">
        <v>205</v>
      </c>
      <c r="X124" s="8"/>
      <c r="Y124" s="8"/>
      <c r="Z124" s="7" t="s">
        <v>108</v>
      </c>
      <c r="AA124" s="8" t="s">
        <v>109</v>
      </c>
      <c r="AB124" s="9" t="n">
        <v>249</v>
      </c>
      <c r="AC124" s="8" t="s">
        <v>815</v>
      </c>
    </row>
    <row r="125" customFormat="false" ht="49.5" hidden="false" customHeight="true" outlineLevel="0" collapsed="false">
      <c r="A125" s="12" t="s">
        <v>842</v>
      </c>
      <c r="B125" s="8" t="s">
        <v>816</v>
      </c>
      <c r="C125" s="8" t="s">
        <v>817</v>
      </c>
      <c r="D125" s="8" t="s">
        <v>818</v>
      </c>
      <c r="E125" s="8" t="s">
        <v>843</v>
      </c>
      <c r="F125" s="8" t="s">
        <v>844</v>
      </c>
      <c r="G125" s="8" t="s">
        <v>403</v>
      </c>
      <c r="H125" s="8" t="str">
        <f aca="false">IF(COUNTIF(M125:R125,"M")&gt;0,"Must Have",IF(COUNTIF(M125:R125,"S")&gt;0,"Should Have",IF(COUNTIF(M125:R125,"C")&gt;0,"Could Have",IF(COUNTA(M125:R125)&gt;0,"Stated – no priority","Aurigo-only (no RFP source)"))))</f>
        <v>Must Have</v>
      </c>
      <c r="I125" s="12" t="n">
        <f aca="false">COUNTA(M125:R125)</f>
        <v>2</v>
      </c>
      <c r="J125" s="12" t="n">
        <f aca="false">COUNTIF(M125:R125,"M")</f>
        <v>2</v>
      </c>
      <c r="K125" s="8" t="str">
        <f aca="false">IF(I125=0,"Aurigo-only",IF(I125=1,"Single source",IF(I125=2,"Two sources",IF(I125&lt;=4,"Common (3-4)","Broad (5+)"))))</f>
        <v>Two sources</v>
      </c>
      <c r="L125" s="8" t="str">
        <f aca="false">IF(J125&gt;=3,"Tier 1: Must in 3+ sources",IF(J125=2,"Tier 2: Must in 2 sources",IF(J125=1,"Tier 3: Must in 1 source",IF(COUNTIF(M125:R125,"S")&gt;0,"Tier 4: Should only",IF(COUNTIF(M125:R125,"C")&gt;0,"Tier 5: Could only",IF(I125&gt;0,"Tier 6: stated, no priority","Aurigo-only"))))))</f>
        <v>Tier 2: Must in 2 sources</v>
      </c>
      <c r="M125" s="12" t="s">
        <v>194</v>
      </c>
      <c r="N125" s="12" t="s">
        <v>194</v>
      </c>
      <c r="O125" s="12"/>
      <c r="P125" s="12"/>
      <c r="Q125" s="12"/>
      <c r="R125" s="12"/>
      <c r="S125" s="8" t="s">
        <v>845</v>
      </c>
      <c r="T125" s="8"/>
      <c r="U125" s="8"/>
      <c r="V125" s="8" t="s">
        <v>204</v>
      </c>
      <c r="W125" s="8" t="s">
        <v>205</v>
      </c>
      <c r="X125" s="8"/>
      <c r="Y125" s="8"/>
      <c r="Z125" s="7" t="s">
        <v>108</v>
      </c>
      <c r="AA125" s="8" t="s">
        <v>109</v>
      </c>
      <c r="AB125" s="9" t="n">
        <v>246</v>
      </c>
      <c r="AC125" s="8" t="s">
        <v>846</v>
      </c>
    </row>
    <row r="126" customFormat="false" ht="62.25" hidden="false" customHeight="true" outlineLevel="0" collapsed="false">
      <c r="A126" s="12" t="s">
        <v>847</v>
      </c>
      <c r="B126" s="8" t="s">
        <v>816</v>
      </c>
      <c r="C126" s="8" t="s">
        <v>817</v>
      </c>
      <c r="D126" s="8" t="s">
        <v>818</v>
      </c>
      <c r="E126" s="8" t="s">
        <v>848</v>
      </c>
      <c r="F126" s="8" t="s">
        <v>849</v>
      </c>
      <c r="G126" s="8" t="s">
        <v>193</v>
      </c>
      <c r="H126" s="8" t="str">
        <f aca="false">IF(COUNTIF(M126:R126,"M")&gt;0,"Must Have",IF(COUNTIF(M126:R126,"S")&gt;0,"Should Have",IF(COUNTIF(M126:R126,"C")&gt;0,"Could Have",IF(COUNTA(M126:R126)&gt;0,"Stated – no priority","Aurigo-only (no RFP source)"))))</f>
        <v>Must Have</v>
      </c>
      <c r="I126" s="12" t="n">
        <f aca="false">COUNTA(M126:R126)</f>
        <v>2</v>
      </c>
      <c r="J126" s="12" t="n">
        <f aca="false">COUNTIF(M126:R126,"M")</f>
        <v>2</v>
      </c>
      <c r="K126" s="8" t="str">
        <f aca="false">IF(I126=0,"Aurigo-only",IF(I126=1,"Single source",IF(I126=2,"Two sources",IF(I126&lt;=4,"Common (3-4)","Broad (5+)"))))</f>
        <v>Two sources</v>
      </c>
      <c r="L126" s="8" t="str">
        <f aca="false">IF(J126&gt;=3,"Tier 1: Must in 3+ sources",IF(J126=2,"Tier 2: Must in 2 sources",IF(J126=1,"Tier 3: Must in 1 source",IF(COUNTIF(M126:R126,"S")&gt;0,"Tier 4: Should only",IF(COUNTIF(M126:R126,"C")&gt;0,"Tier 5: Could only",IF(I126&gt;0,"Tier 6: stated, no priority","Aurigo-only"))))))</f>
        <v>Tier 2: Must in 2 sources</v>
      </c>
      <c r="M126" s="12" t="s">
        <v>194</v>
      </c>
      <c r="N126" s="12" t="s">
        <v>194</v>
      </c>
      <c r="O126" s="12"/>
      <c r="P126" s="12"/>
      <c r="Q126" s="12"/>
      <c r="R126" s="12"/>
      <c r="S126" s="8" t="s">
        <v>850</v>
      </c>
      <c r="T126" s="8"/>
      <c r="U126" s="8"/>
      <c r="V126" s="8" t="s">
        <v>204</v>
      </c>
      <c r="W126" s="8" t="s">
        <v>205</v>
      </c>
      <c r="X126" s="8"/>
      <c r="Y126" s="8"/>
      <c r="Z126" s="7" t="s">
        <v>108</v>
      </c>
      <c r="AA126" s="8" t="s">
        <v>109</v>
      </c>
      <c r="AB126" s="9" t="n">
        <v>247</v>
      </c>
      <c r="AC126" s="8" t="s">
        <v>851</v>
      </c>
    </row>
    <row r="127" customFormat="false" ht="24.75" hidden="false" customHeight="true" outlineLevel="0" collapsed="false">
      <c r="A127" s="12" t="s">
        <v>852</v>
      </c>
      <c r="B127" s="8" t="s">
        <v>816</v>
      </c>
      <c r="C127" s="8" t="s">
        <v>817</v>
      </c>
      <c r="D127" s="8" t="s">
        <v>818</v>
      </c>
      <c r="E127" s="8" t="s">
        <v>853</v>
      </c>
      <c r="F127" s="8" t="s">
        <v>854</v>
      </c>
      <c r="G127" s="8" t="s">
        <v>193</v>
      </c>
      <c r="H127" s="8" t="str">
        <f aca="false">IF(COUNTIF(M127:R127,"M")&gt;0,"Must Have",IF(COUNTIF(M127:R127,"S")&gt;0,"Should Have",IF(COUNTIF(M127:R127,"C")&gt;0,"Could Have",IF(COUNTA(M127:R127)&gt;0,"Stated – no priority","Aurigo-only (no RFP source)"))))</f>
        <v>Must Have</v>
      </c>
      <c r="I127" s="12" t="n">
        <f aca="false">COUNTA(M127:R127)</f>
        <v>1</v>
      </c>
      <c r="J127" s="12" t="n">
        <f aca="false">COUNTIF(M127:R127,"M")</f>
        <v>1</v>
      </c>
      <c r="K127" s="8" t="str">
        <f aca="false">IF(I127=0,"Aurigo-only",IF(I127=1,"Single source",IF(I127=2,"Two sources",IF(I127&lt;=4,"Common (3-4)","Broad (5+)"))))</f>
        <v>Single source</v>
      </c>
      <c r="L127" s="8" t="str">
        <f aca="false">IF(J127&gt;=3,"Tier 1: Must in 3+ sources",IF(J127=2,"Tier 2: Must in 2 sources",IF(J127=1,"Tier 3: Must in 1 source",IF(COUNTIF(M127:R127,"S")&gt;0,"Tier 4: Should only",IF(COUNTIF(M127:R127,"C")&gt;0,"Tier 5: Could only",IF(I127&gt;0,"Tier 6: stated, no priority","Aurigo-only"))))))</f>
        <v>Tier 3: Must in 1 source</v>
      </c>
      <c r="M127" s="12"/>
      <c r="N127" s="12" t="s">
        <v>194</v>
      </c>
      <c r="O127" s="12"/>
      <c r="P127" s="12"/>
      <c r="Q127" s="12"/>
      <c r="R127" s="12"/>
      <c r="S127" s="8" t="s">
        <v>855</v>
      </c>
      <c r="T127" s="8"/>
      <c r="U127" s="8"/>
      <c r="V127" s="8" t="s">
        <v>204</v>
      </c>
      <c r="W127" s="8" t="s">
        <v>205</v>
      </c>
      <c r="X127" s="8"/>
      <c r="Y127" s="8"/>
      <c r="Z127" s="7" t="s">
        <v>132</v>
      </c>
      <c r="AA127" s="8" t="s">
        <v>133</v>
      </c>
      <c r="AB127" s="9" t="n">
        <v>306</v>
      </c>
      <c r="AC127" s="8" t="s">
        <v>856</v>
      </c>
    </row>
    <row r="128" customFormat="false" ht="99.75" hidden="false" customHeight="true" outlineLevel="0" collapsed="false">
      <c r="A128" s="12" t="s">
        <v>857</v>
      </c>
      <c r="B128" s="8" t="s">
        <v>816</v>
      </c>
      <c r="C128" s="8" t="s">
        <v>858</v>
      </c>
      <c r="D128" s="8" t="s">
        <v>859</v>
      </c>
      <c r="E128" s="8" t="s">
        <v>860</v>
      </c>
      <c r="F128" s="8" t="s">
        <v>861</v>
      </c>
      <c r="G128" s="8" t="s">
        <v>193</v>
      </c>
      <c r="H128" s="8" t="str">
        <f aca="false">IF(COUNTIF(M128:R128,"M")&gt;0,"Must Have",IF(COUNTIF(M128:R128,"S")&gt;0,"Should Have",IF(COUNTIF(M128:R128,"C")&gt;0,"Could Have",IF(COUNTA(M128:R128)&gt;0,"Stated – no priority","Aurigo-only (no RFP source)"))))</f>
        <v>Must Have</v>
      </c>
      <c r="I128" s="12" t="n">
        <f aca="false">COUNTA(M128:R128)</f>
        <v>4</v>
      </c>
      <c r="J128" s="12" t="n">
        <f aca="false">COUNTIF(M128:R128,"M")</f>
        <v>3</v>
      </c>
      <c r="K128" s="8" t="str">
        <f aca="false">IF(I128=0,"Aurigo-only",IF(I128=1,"Single source",IF(I128=2,"Two sources",IF(I128&lt;=4,"Common (3-4)","Broad (5+)"))))</f>
        <v>Common (3-4)</v>
      </c>
      <c r="L128" s="8" t="str">
        <f aca="false">IF(J128&gt;=3,"Tier 1: Must in 3+ sources",IF(J128=2,"Tier 2: Must in 2 sources",IF(J128=1,"Tier 3: Must in 1 source",IF(COUNTIF(M128:R128,"S")&gt;0,"Tier 4: Should only",IF(COUNTIF(M128:R128,"C")&gt;0,"Tier 5: Could only",IF(I128&gt;0,"Tier 6: stated, no priority","Aurigo-only"))))))</f>
        <v>Tier 1: Must in 3+ sources</v>
      </c>
      <c r="M128" s="12" t="s">
        <v>194</v>
      </c>
      <c r="N128" s="12" t="s">
        <v>194</v>
      </c>
      <c r="O128" s="12"/>
      <c r="P128" s="12" t="s">
        <v>195</v>
      </c>
      <c r="Q128" s="12"/>
      <c r="R128" s="12" t="s">
        <v>194</v>
      </c>
      <c r="S128" s="8" t="s">
        <v>862</v>
      </c>
      <c r="T128" s="8"/>
      <c r="U128" s="8"/>
      <c r="V128" s="8" t="s">
        <v>197</v>
      </c>
      <c r="W128" s="8" t="s">
        <v>863</v>
      </c>
      <c r="X128" s="8"/>
      <c r="Y128" s="8"/>
      <c r="Z128" s="7" t="s">
        <v>111</v>
      </c>
      <c r="AA128" s="8" t="s">
        <v>112</v>
      </c>
      <c r="AB128" s="9" t="n">
        <v>253</v>
      </c>
      <c r="AC128" s="8" t="s">
        <v>815</v>
      </c>
    </row>
    <row r="129" customFormat="false" ht="87" hidden="false" customHeight="true" outlineLevel="0" collapsed="false">
      <c r="A129" s="12" t="s">
        <v>864</v>
      </c>
      <c r="B129" s="8" t="s">
        <v>816</v>
      </c>
      <c r="C129" s="8" t="s">
        <v>858</v>
      </c>
      <c r="D129" s="8" t="s">
        <v>859</v>
      </c>
      <c r="E129" s="8" t="s">
        <v>865</v>
      </c>
      <c r="F129" s="8" t="s">
        <v>866</v>
      </c>
      <c r="G129" s="8" t="s">
        <v>193</v>
      </c>
      <c r="H129" s="8" t="str">
        <f aca="false">IF(COUNTIF(M129:R129,"M")&gt;0,"Must Have",IF(COUNTIF(M129:R129,"S")&gt;0,"Should Have",IF(COUNTIF(M129:R129,"C")&gt;0,"Could Have",IF(COUNTA(M129:R129)&gt;0,"Stated – no priority","Aurigo-only (no RFP source)"))))</f>
        <v>Must Have</v>
      </c>
      <c r="I129" s="12" t="n">
        <f aca="false">COUNTA(M129:R129)</f>
        <v>3</v>
      </c>
      <c r="J129" s="12" t="n">
        <f aca="false">COUNTIF(M129:R129,"M")</f>
        <v>2</v>
      </c>
      <c r="K129" s="8" t="str">
        <f aca="false">IF(I129=0,"Aurigo-only",IF(I129=1,"Single source",IF(I129=2,"Two sources",IF(I129&lt;=4,"Common (3-4)","Broad (5+)"))))</f>
        <v>Common (3-4)</v>
      </c>
      <c r="L129" s="8" t="str">
        <f aca="false">IF(J129&gt;=3,"Tier 1: Must in 3+ sources",IF(J129=2,"Tier 2: Must in 2 sources",IF(J129=1,"Tier 3: Must in 1 source",IF(COUNTIF(M129:R129,"S")&gt;0,"Tier 4: Should only",IF(COUNTIF(M129:R129,"C")&gt;0,"Tier 5: Could only",IF(I129&gt;0,"Tier 6: stated, no priority","Aurigo-only"))))))</f>
        <v>Tier 2: Must in 2 sources</v>
      </c>
      <c r="M129" s="12"/>
      <c r="N129" s="12" t="s">
        <v>194</v>
      </c>
      <c r="O129" s="12"/>
      <c r="P129" s="12" t="s">
        <v>195</v>
      </c>
      <c r="Q129" s="12"/>
      <c r="R129" s="12" t="s">
        <v>194</v>
      </c>
      <c r="S129" s="8" t="s">
        <v>867</v>
      </c>
      <c r="T129" s="8"/>
      <c r="U129" s="8"/>
      <c r="V129" s="8" t="s">
        <v>227</v>
      </c>
      <c r="W129" s="8" t="s">
        <v>868</v>
      </c>
      <c r="X129" s="8"/>
      <c r="Y129" s="8"/>
      <c r="Z129" s="7" t="s">
        <v>111</v>
      </c>
      <c r="AA129" s="8" t="s">
        <v>112</v>
      </c>
      <c r="AB129" s="9" t="n">
        <v>254</v>
      </c>
      <c r="AC129" s="8" t="s">
        <v>869</v>
      </c>
    </row>
    <row r="130" customFormat="false" ht="24.75" hidden="false" customHeight="true" outlineLevel="0" collapsed="false">
      <c r="A130" s="12" t="s">
        <v>870</v>
      </c>
      <c r="B130" s="8" t="s">
        <v>816</v>
      </c>
      <c r="C130" s="8" t="s">
        <v>858</v>
      </c>
      <c r="D130" s="8" t="s">
        <v>859</v>
      </c>
      <c r="E130" s="8" t="s">
        <v>871</v>
      </c>
      <c r="F130" s="8" t="s">
        <v>872</v>
      </c>
      <c r="G130" s="8" t="s">
        <v>193</v>
      </c>
      <c r="H130" s="8" t="str">
        <f aca="false">IF(COUNTIF(M130:R130,"M")&gt;0,"Must Have",IF(COUNTIF(M130:R130,"S")&gt;0,"Should Have",IF(COUNTIF(M130:R130,"C")&gt;0,"Could Have",IF(COUNTA(M130:R130)&gt;0,"Stated – no priority","Aurigo-only (no RFP source)"))))</f>
        <v>Stated – no priority</v>
      </c>
      <c r="I130" s="12" t="n">
        <f aca="false">COUNTA(M130:R130)</f>
        <v>1</v>
      </c>
      <c r="J130" s="12" t="n">
        <f aca="false">COUNTIF(M130:R130,"M")</f>
        <v>0</v>
      </c>
      <c r="K130" s="8" t="str">
        <f aca="false">IF(I130=0,"Aurigo-only",IF(I130=1,"Single source",IF(I130=2,"Two sources",IF(I130&lt;=4,"Common (3-4)","Broad (5+)"))))</f>
        <v>Single source</v>
      </c>
      <c r="L130" s="8" t="str">
        <f aca="false">IF(J130&gt;=3,"Tier 1: Must in 3+ sources",IF(J130=2,"Tier 2: Must in 2 sources",IF(J130=1,"Tier 3: Must in 1 source",IF(COUNTIF(M130:R130,"S")&gt;0,"Tier 4: Should only",IF(COUNTIF(M130:R130,"C")&gt;0,"Tier 5: Could only",IF(I130&gt;0,"Tier 6: stated, no priority","Aurigo-only"))))))</f>
        <v>Tier 6: stated, no priority</v>
      </c>
      <c r="M130" s="12"/>
      <c r="N130" s="12"/>
      <c r="O130" s="12"/>
      <c r="P130" s="12" t="s">
        <v>195</v>
      </c>
      <c r="Q130" s="12"/>
      <c r="R130" s="12"/>
      <c r="S130" s="8" t="s">
        <v>873</v>
      </c>
      <c r="T130" s="8"/>
      <c r="U130" s="8"/>
      <c r="V130" s="8" t="s">
        <v>204</v>
      </c>
      <c r="W130" s="8" t="s">
        <v>205</v>
      </c>
      <c r="X130" s="8"/>
      <c r="Y130" s="8"/>
      <c r="Z130" s="7" t="s">
        <v>111</v>
      </c>
      <c r="AA130" s="8" t="s">
        <v>112</v>
      </c>
      <c r="AB130" s="9" t="n">
        <v>262</v>
      </c>
      <c r="AC130" s="8" t="s">
        <v>864</v>
      </c>
    </row>
    <row r="131" customFormat="false" ht="24.75" hidden="false" customHeight="true" outlineLevel="0" collapsed="false">
      <c r="A131" s="12" t="s">
        <v>874</v>
      </c>
      <c r="B131" s="8" t="s">
        <v>816</v>
      </c>
      <c r="C131" s="8" t="s">
        <v>858</v>
      </c>
      <c r="D131" s="8" t="s">
        <v>859</v>
      </c>
      <c r="E131" s="8" t="s">
        <v>875</v>
      </c>
      <c r="F131" s="8" t="s">
        <v>876</v>
      </c>
      <c r="G131" s="8" t="s">
        <v>397</v>
      </c>
      <c r="H131" s="8" t="str">
        <f aca="false">IF(COUNTIF(M131:R131,"M")&gt;0,"Must Have",IF(COUNTIF(M131:R131,"S")&gt;0,"Should Have",IF(COUNTIF(M131:R131,"C")&gt;0,"Could Have",IF(COUNTA(M131:R131)&gt;0,"Stated – no priority","Aurigo-only (no RFP source)"))))</f>
        <v>Must Have</v>
      </c>
      <c r="I131" s="12" t="n">
        <f aca="false">COUNTA(M131:R131)</f>
        <v>1</v>
      </c>
      <c r="J131" s="12" t="n">
        <f aca="false">COUNTIF(M131:R131,"M")</f>
        <v>1</v>
      </c>
      <c r="K131" s="8" t="str">
        <f aca="false">IF(I131=0,"Aurigo-only",IF(I131=1,"Single source",IF(I131=2,"Two sources",IF(I131&lt;=4,"Common (3-4)","Broad (5+)"))))</f>
        <v>Single source</v>
      </c>
      <c r="L131" s="8" t="str">
        <f aca="false">IF(J131&gt;=3,"Tier 1: Must in 3+ sources",IF(J131=2,"Tier 2: Must in 2 sources",IF(J131=1,"Tier 3: Must in 1 source",IF(COUNTIF(M131:R131,"S")&gt;0,"Tier 4: Should only",IF(COUNTIF(M131:R131,"C")&gt;0,"Tier 5: Could only",IF(I131&gt;0,"Tier 6: stated, no priority","Aurigo-only"))))))</f>
        <v>Tier 3: Must in 1 source</v>
      </c>
      <c r="M131" s="12" t="s">
        <v>194</v>
      </c>
      <c r="N131" s="12"/>
      <c r="O131" s="12"/>
      <c r="P131" s="12"/>
      <c r="Q131" s="12"/>
      <c r="R131" s="12"/>
      <c r="S131" s="8" t="s">
        <v>877</v>
      </c>
      <c r="T131" s="8"/>
      <c r="U131" s="8" t="s">
        <v>878</v>
      </c>
      <c r="V131" s="8" t="s">
        <v>204</v>
      </c>
      <c r="W131" s="8" t="s">
        <v>205</v>
      </c>
      <c r="X131" s="8"/>
      <c r="Y131" s="8"/>
      <c r="Z131" s="7" t="s">
        <v>135</v>
      </c>
      <c r="AA131" s="8" t="s">
        <v>136</v>
      </c>
      <c r="AB131" s="9" t="n">
        <v>318</v>
      </c>
      <c r="AC131" s="8" t="s">
        <v>857</v>
      </c>
    </row>
    <row r="132" customFormat="false" ht="62.25" hidden="false" customHeight="true" outlineLevel="0" collapsed="false">
      <c r="A132" s="12" t="s">
        <v>879</v>
      </c>
      <c r="B132" s="8" t="s">
        <v>816</v>
      </c>
      <c r="C132" s="8" t="s">
        <v>858</v>
      </c>
      <c r="D132" s="8" t="s">
        <v>859</v>
      </c>
      <c r="E132" s="8" t="s">
        <v>880</v>
      </c>
      <c r="F132" s="8" t="s">
        <v>881</v>
      </c>
      <c r="G132" s="8" t="s">
        <v>193</v>
      </c>
      <c r="H132" s="8" t="str">
        <f aca="false">IF(COUNTIF(M132:R132,"M")&gt;0,"Must Have",IF(COUNTIF(M132:R132,"S")&gt;0,"Should Have",IF(COUNTIF(M132:R132,"C")&gt;0,"Could Have",IF(COUNTA(M132:R132)&gt;0,"Stated – no priority","Aurigo-only (no RFP source)"))))</f>
        <v>Must Have</v>
      </c>
      <c r="I132" s="12" t="n">
        <f aca="false">COUNTA(M132:R132)</f>
        <v>2</v>
      </c>
      <c r="J132" s="12" t="n">
        <f aca="false">COUNTIF(M132:R132,"M")</f>
        <v>2</v>
      </c>
      <c r="K132" s="8" t="str">
        <f aca="false">IF(I132=0,"Aurigo-only",IF(I132=1,"Single source",IF(I132=2,"Two sources",IF(I132&lt;=4,"Common (3-4)","Broad (5+)"))))</f>
        <v>Two sources</v>
      </c>
      <c r="L132" s="8" t="str">
        <f aca="false">IF(J132&gt;=3,"Tier 1: Must in 3+ sources",IF(J132=2,"Tier 2: Must in 2 sources",IF(J132=1,"Tier 3: Must in 1 source",IF(COUNTIF(M132:R132,"S")&gt;0,"Tier 4: Should only",IF(COUNTIF(M132:R132,"C")&gt;0,"Tier 5: Could only",IF(I132&gt;0,"Tier 6: stated, no priority","Aurigo-only"))))))</f>
        <v>Tier 2: Must in 2 sources</v>
      </c>
      <c r="M132" s="12" t="s">
        <v>194</v>
      </c>
      <c r="N132" s="12"/>
      <c r="O132" s="12"/>
      <c r="P132" s="12"/>
      <c r="Q132" s="12"/>
      <c r="R132" s="12" t="s">
        <v>194</v>
      </c>
      <c r="S132" s="8" t="s">
        <v>882</v>
      </c>
      <c r="T132" s="8"/>
      <c r="U132" s="8"/>
      <c r="V132" s="8" t="s">
        <v>204</v>
      </c>
      <c r="W132" s="8" t="s">
        <v>205</v>
      </c>
      <c r="X132" s="8"/>
      <c r="Y132" s="8"/>
      <c r="Z132" s="7" t="s">
        <v>111</v>
      </c>
      <c r="AA132" s="8" t="s">
        <v>112</v>
      </c>
      <c r="AB132" s="9" t="n">
        <v>255</v>
      </c>
      <c r="AC132" s="8" t="s">
        <v>883</v>
      </c>
    </row>
    <row r="133" customFormat="false" ht="49.5" hidden="false" customHeight="true" outlineLevel="0" collapsed="false">
      <c r="A133" s="12" t="s">
        <v>884</v>
      </c>
      <c r="B133" s="8" t="s">
        <v>816</v>
      </c>
      <c r="C133" s="8" t="s">
        <v>858</v>
      </c>
      <c r="D133" s="8" t="s">
        <v>885</v>
      </c>
      <c r="E133" s="8" t="s">
        <v>886</v>
      </c>
      <c r="F133" s="8" t="s">
        <v>887</v>
      </c>
      <c r="G133" s="8" t="s">
        <v>193</v>
      </c>
      <c r="H133" s="8" t="str">
        <f aca="false">IF(COUNTIF(M133:R133,"M")&gt;0,"Must Have",IF(COUNTIF(M133:R133,"S")&gt;0,"Should Have",IF(COUNTIF(M133:R133,"C")&gt;0,"Could Have",IF(COUNTA(M133:R133)&gt;0,"Stated – no priority","Aurigo-only (no RFP source)"))))</f>
        <v>Must Have</v>
      </c>
      <c r="I133" s="12" t="n">
        <f aca="false">COUNTA(M133:R133)</f>
        <v>2</v>
      </c>
      <c r="J133" s="12" t="n">
        <f aca="false">COUNTIF(M133:R133,"M")</f>
        <v>2</v>
      </c>
      <c r="K133" s="8" t="str">
        <f aca="false">IF(I133=0,"Aurigo-only",IF(I133=1,"Single source",IF(I133=2,"Two sources",IF(I133&lt;=4,"Common (3-4)","Broad (5+)"))))</f>
        <v>Two sources</v>
      </c>
      <c r="L133" s="8" t="str">
        <f aca="false">IF(J133&gt;=3,"Tier 1: Must in 3+ sources",IF(J133=2,"Tier 2: Must in 2 sources",IF(J133=1,"Tier 3: Must in 1 source",IF(COUNTIF(M133:R133,"S")&gt;0,"Tier 4: Should only",IF(COUNTIF(M133:R133,"C")&gt;0,"Tier 5: Could only",IF(I133&gt;0,"Tier 6: stated, no priority","Aurigo-only"))))))</f>
        <v>Tier 2: Must in 2 sources</v>
      </c>
      <c r="M133" s="12" t="s">
        <v>194</v>
      </c>
      <c r="N133" s="12"/>
      <c r="O133" s="12"/>
      <c r="P133" s="12"/>
      <c r="Q133" s="12"/>
      <c r="R133" s="12" t="s">
        <v>194</v>
      </c>
      <c r="S133" s="8" t="s">
        <v>888</v>
      </c>
      <c r="T133" s="8"/>
      <c r="U133" s="8"/>
      <c r="V133" s="8" t="s">
        <v>204</v>
      </c>
      <c r="W133" s="8" t="s">
        <v>205</v>
      </c>
      <c r="X133" s="8" t="s">
        <v>889</v>
      </c>
      <c r="Y133" s="8"/>
      <c r="Z133" s="7" t="s">
        <v>111</v>
      </c>
      <c r="AA133" s="8" t="s">
        <v>112</v>
      </c>
      <c r="AB133" s="9" t="n">
        <v>256</v>
      </c>
      <c r="AC133" s="8" t="s">
        <v>815</v>
      </c>
    </row>
    <row r="134" customFormat="false" ht="24.75" hidden="false" customHeight="true" outlineLevel="0" collapsed="false">
      <c r="A134" s="12" t="s">
        <v>890</v>
      </c>
      <c r="B134" s="8" t="s">
        <v>816</v>
      </c>
      <c r="C134" s="8" t="s">
        <v>858</v>
      </c>
      <c r="D134" s="8" t="s">
        <v>885</v>
      </c>
      <c r="E134" s="8" t="s">
        <v>891</v>
      </c>
      <c r="F134" s="8" t="s">
        <v>892</v>
      </c>
      <c r="G134" s="8" t="s">
        <v>193</v>
      </c>
      <c r="H134" s="8" t="str">
        <f aca="false">IF(COUNTIF(M134:R134,"M")&gt;0,"Must Have",IF(COUNTIF(M134:R134,"S")&gt;0,"Should Have",IF(COUNTIF(M134:R134,"C")&gt;0,"Could Have",IF(COUNTA(M134:R134)&gt;0,"Stated – no priority","Aurigo-only (no RFP source)"))))</f>
        <v>Stated – no priority</v>
      </c>
      <c r="I134" s="12" t="n">
        <f aca="false">COUNTA(M134:R134)</f>
        <v>1</v>
      </c>
      <c r="J134" s="12" t="n">
        <f aca="false">COUNTIF(M134:R134,"M")</f>
        <v>0</v>
      </c>
      <c r="K134" s="8" t="str">
        <f aca="false">IF(I134=0,"Aurigo-only",IF(I134=1,"Single source",IF(I134=2,"Two sources",IF(I134&lt;=4,"Common (3-4)","Broad (5+)"))))</f>
        <v>Single source</v>
      </c>
      <c r="L134" s="8" t="str">
        <f aca="false">IF(J134&gt;=3,"Tier 1: Must in 3+ sources",IF(J134=2,"Tier 2: Must in 2 sources",IF(J134=1,"Tier 3: Must in 1 source",IF(COUNTIF(M134:R134,"S")&gt;0,"Tier 4: Should only",IF(COUNTIF(M134:R134,"C")&gt;0,"Tier 5: Could only",IF(I134&gt;0,"Tier 6: stated, no priority","Aurigo-only"))))))</f>
        <v>Tier 6: stated, no priority</v>
      </c>
      <c r="M134" s="12"/>
      <c r="N134" s="12"/>
      <c r="O134" s="12"/>
      <c r="P134" s="12" t="s">
        <v>195</v>
      </c>
      <c r="Q134" s="12"/>
      <c r="R134" s="12"/>
      <c r="S134" s="8" t="s">
        <v>893</v>
      </c>
      <c r="T134" s="8"/>
      <c r="U134" s="8"/>
      <c r="V134" s="8" t="s">
        <v>204</v>
      </c>
      <c r="W134" s="8" t="s">
        <v>205</v>
      </c>
      <c r="X134" s="8"/>
      <c r="Y134" s="8"/>
      <c r="Z134" s="7" t="s">
        <v>111</v>
      </c>
      <c r="AA134" s="8" t="s">
        <v>112</v>
      </c>
      <c r="AB134" s="9" t="n">
        <v>259</v>
      </c>
      <c r="AC134" s="8" t="s">
        <v>815</v>
      </c>
    </row>
    <row r="135" customFormat="false" ht="37.5" hidden="false" customHeight="true" outlineLevel="0" collapsed="false">
      <c r="A135" s="12" t="s">
        <v>894</v>
      </c>
      <c r="B135" s="8" t="s">
        <v>816</v>
      </c>
      <c r="C135" s="8" t="s">
        <v>858</v>
      </c>
      <c r="D135" s="8" t="s">
        <v>859</v>
      </c>
      <c r="E135" s="8" t="s">
        <v>895</v>
      </c>
      <c r="F135" s="8" t="s">
        <v>896</v>
      </c>
      <c r="G135" s="8" t="s">
        <v>193</v>
      </c>
      <c r="H135" s="8" t="str">
        <f aca="false">IF(COUNTIF(M135:R135,"M")&gt;0,"Must Have",IF(COUNTIF(M135:R135,"S")&gt;0,"Should Have",IF(COUNTIF(M135:R135,"C")&gt;0,"Could Have",IF(COUNTA(M135:R135)&gt;0,"Stated – no priority","Aurigo-only (no RFP source)"))))</f>
        <v>Must Have</v>
      </c>
      <c r="I135" s="12" t="n">
        <f aca="false">COUNTA(M135:R135)</f>
        <v>1</v>
      </c>
      <c r="J135" s="12" t="n">
        <f aca="false">COUNTIF(M135:R135,"M")</f>
        <v>1</v>
      </c>
      <c r="K135" s="8" t="str">
        <f aca="false">IF(I135=0,"Aurigo-only",IF(I135=1,"Single source",IF(I135=2,"Two sources",IF(I135&lt;=4,"Common (3-4)","Broad (5+)"))))</f>
        <v>Single source</v>
      </c>
      <c r="L135" s="8" t="str">
        <f aca="false">IF(J135&gt;=3,"Tier 1: Must in 3+ sources",IF(J135=2,"Tier 2: Must in 2 sources",IF(J135=1,"Tier 3: Must in 1 source",IF(COUNTIF(M135:R135,"S")&gt;0,"Tier 4: Should only",IF(COUNTIF(M135:R135,"C")&gt;0,"Tier 5: Could only",IF(I135&gt;0,"Tier 6: stated, no priority","Aurigo-only"))))))</f>
        <v>Tier 3: Must in 1 source</v>
      </c>
      <c r="M135" s="12"/>
      <c r="N135" s="12"/>
      <c r="O135" s="12"/>
      <c r="P135" s="12"/>
      <c r="Q135" s="12"/>
      <c r="R135" s="12" t="s">
        <v>194</v>
      </c>
      <c r="S135" s="8" t="s">
        <v>897</v>
      </c>
      <c r="T135" s="8"/>
      <c r="U135" s="8"/>
      <c r="V135" s="8" t="s">
        <v>204</v>
      </c>
      <c r="W135" s="8" t="s">
        <v>205</v>
      </c>
      <c r="X135" s="8"/>
      <c r="Y135" s="8"/>
      <c r="Z135" s="7" t="s">
        <v>129</v>
      </c>
      <c r="AA135" s="8" t="s">
        <v>130</v>
      </c>
      <c r="AB135" s="9" t="n">
        <v>300</v>
      </c>
      <c r="AC135" s="8" t="s">
        <v>898</v>
      </c>
    </row>
    <row r="136" customFormat="false" ht="37.5" hidden="false" customHeight="true" outlineLevel="0" collapsed="false">
      <c r="A136" s="12" t="s">
        <v>899</v>
      </c>
      <c r="B136" s="8" t="s">
        <v>816</v>
      </c>
      <c r="C136" s="8" t="s">
        <v>858</v>
      </c>
      <c r="D136" s="8" t="s">
        <v>859</v>
      </c>
      <c r="E136" s="8" t="s">
        <v>900</v>
      </c>
      <c r="F136" s="8" t="s">
        <v>901</v>
      </c>
      <c r="G136" s="8" t="s">
        <v>193</v>
      </c>
      <c r="H136" s="8" t="str">
        <f aca="false">IF(COUNTIF(M136:R136,"M")&gt;0,"Must Have",IF(COUNTIF(M136:R136,"S")&gt;0,"Should Have",IF(COUNTIF(M136:R136,"C")&gt;0,"Could Have",IF(COUNTA(M136:R136)&gt;0,"Stated – no priority","Aurigo-only (no RFP source)"))))</f>
        <v>Must Have</v>
      </c>
      <c r="I136" s="12" t="n">
        <f aca="false">COUNTA(M136:R136)</f>
        <v>1</v>
      </c>
      <c r="J136" s="12" t="n">
        <f aca="false">COUNTIF(M136:R136,"M")</f>
        <v>1</v>
      </c>
      <c r="K136" s="8" t="str">
        <f aca="false">IF(I136=0,"Aurigo-only",IF(I136=1,"Single source",IF(I136=2,"Two sources",IF(I136&lt;=4,"Common (3-4)","Broad (5+)"))))</f>
        <v>Single source</v>
      </c>
      <c r="L136" s="8" t="str">
        <f aca="false">IF(J136&gt;=3,"Tier 1: Must in 3+ sources",IF(J136=2,"Tier 2: Must in 2 sources",IF(J136=1,"Tier 3: Must in 1 source",IF(COUNTIF(M136:R136,"S")&gt;0,"Tier 4: Should only",IF(COUNTIF(M136:R136,"C")&gt;0,"Tier 5: Could only",IF(I136&gt;0,"Tier 6: stated, no priority","Aurigo-only"))))))</f>
        <v>Tier 3: Must in 1 source</v>
      </c>
      <c r="M136" s="12"/>
      <c r="N136" s="12"/>
      <c r="O136" s="12"/>
      <c r="P136" s="12"/>
      <c r="Q136" s="12"/>
      <c r="R136" s="12" t="s">
        <v>194</v>
      </c>
      <c r="S136" s="8" t="s">
        <v>902</v>
      </c>
      <c r="T136" s="8"/>
      <c r="U136" s="8"/>
      <c r="V136" s="8" t="s">
        <v>204</v>
      </c>
      <c r="W136" s="8" t="s">
        <v>205</v>
      </c>
      <c r="X136" s="8"/>
      <c r="Y136" s="8"/>
      <c r="Z136" s="7" t="s">
        <v>111</v>
      </c>
      <c r="AA136" s="8" t="s">
        <v>112</v>
      </c>
      <c r="AB136" s="9" t="n">
        <v>257</v>
      </c>
      <c r="AC136" s="8" t="s">
        <v>903</v>
      </c>
    </row>
    <row r="137" customFormat="false" ht="24.75" hidden="false" customHeight="true" outlineLevel="0" collapsed="false">
      <c r="A137" s="12" t="s">
        <v>904</v>
      </c>
      <c r="B137" s="8" t="s">
        <v>816</v>
      </c>
      <c r="C137" s="8" t="s">
        <v>858</v>
      </c>
      <c r="D137" s="8" t="s">
        <v>859</v>
      </c>
      <c r="E137" s="8" t="s">
        <v>905</v>
      </c>
      <c r="F137" s="8" t="s">
        <v>906</v>
      </c>
      <c r="G137" s="8" t="s">
        <v>193</v>
      </c>
      <c r="H137" s="8" t="str">
        <f aca="false">IF(COUNTIF(M137:R137,"M")&gt;0,"Must Have",IF(COUNTIF(M137:R137,"S")&gt;0,"Should Have",IF(COUNTIF(M137:R137,"C")&gt;0,"Could Have",IF(COUNTA(M137:R137)&gt;0,"Stated – no priority","Aurigo-only (no RFP source)"))))</f>
        <v>Must Have</v>
      </c>
      <c r="I137" s="12" t="n">
        <f aca="false">COUNTA(M137:R137)</f>
        <v>1</v>
      </c>
      <c r="J137" s="12" t="n">
        <f aca="false">COUNTIF(M137:R137,"M")</f>
        <v>1</v>
      </c>
      <c r="K137" s="8" t="str">
        <f aca="false">IF(I137=0,"Aurigo-only",IF(I137=1,"Single source",IF(I137=2,"Two sources",IF(I137&lt;=4,"Common (3-4)","Broad (5+)"))))</f>
        <v>Single source</v>
      </c>
      <c r="L137" s="8" t="str">
        <f aca="false">IF(J137&gt;=3,"Tier 1: Must in 3+ sources",IF(J137=2,"Tier 2: Must in 2 sources",IF(J137=1,"Tier 3: Must in 1 source",IF(COUNTIF(M137:R137,"S")&gt;0,"Tier 4: Should only",IF(COUNTIF(M137:R137,"C")&gt;0,"Tier 5: Could only",IF(I137&gt;0,"Tier 6: stated, no priority","Aurigo-only"))))))</f>
        <v>Tier 3: Must in 1 source</v>
      </c>
      <c r="M137" s="12" t="s">
        <v>194</v>
      </c>
      <c r="N137" s="12"/>
      <c r="O137" s="12"/>
      <c r="P137" s="12"/>
      <c r="Q137" s="12"/>
      <c r="R137" s="12"/>
      <c r="S137" s="8" t="s">
        <v>907</v>
      </c>
      <c r="T137" s="8"/>
      <c r="U137" s="8"/>
      <c r="V137" s="8" t="s">
        <v>204</v>
      </c>
      <c r="W137" s="8" t="s">
        <v>205</v>
      </c>
      <c r="X137" s="8" t="s">
        <v>908</v>
      </c>
      <c r="Y137" s="8"/>
      <c r="Z137" s="7" t="s">
        <v>111</v>
      </c>
      <c r="AA137" s="8" t="s">
        <v>112</v>
      </c>
      <c r="AB137" s="9" t="n">
        <v>258</v>
      </c>
      <c r="AC137" s="8" t="s">
        <v>909</v>
      </c>
    </row>
    <row r="138" customFormat="false" ht="75" hidden="false" customHeight="true" outlineLevel="0" collapsed="false">
      <c r="A138" s="12" t="s">
        <v>910</v>
      </c>
      <c r="B138" s="8" t="s">
        <v>816</v>
      </c>
      <c r="C138" s="8" t="s">
        <v>858</v>
      </c>
      <c r="D138" s="8" t="s">
        <v>711</v>
      </c>
      <c r="E138" s="8" t="s">
        <v>911</v>
      </c>
      <c r="F138" s="8" t="s">
        <v>912</v>
      </c>
      <c r="G138" s="8" t="s">
        <v>370</v>
      </c>
      <c r="H138" s="8" t="str">
        <f aca="false">IF(COUNTIF(M138:R138,"M")&gt;0,"Must Have",IF(COUNTIF(M138:R138,"S")&gt;0,"Should Have",IF(COUNTIF(M138:R138,"C")&gt;0,"Could Have",IF(COUNTA(M138:R138)&gt;0,"Stated – no priority","Aurigo-only (no RFP source)"))))</f>
        <v>Must Have</v>
      </c>
      <c r="I138" s="12" t="n">
        <f aca="false">COUNTA(M138:R138)</f>
        <v>3</v>
      </c>
      <c r="J138" s="12" t="n">
        <f aca="false">COUNTIF(M138:R138,"M")</f>
        <v>3</v>
      </c>
      <c r="K138" s="8" t="str">
        <f aca="false">IF(I138=0,"Aurigo-only",IF(I138=1,"Single source",IF(I138=2,"Two sources",IF(I138&lt;=4,"Common (3-4)","Broad (5+)"))))</f>
        <v>Common (3-4)</v>
      </c>
      <c r="L138" s="8" t="str">
        <f aca="false">IF(J138&gt;=3,"Tier 1: Must in 3+ sources",IF(J138=2,"Tier 2: Must in 2 sources",IF(J138=1,"Tier 3: Must in 1 source",IF(COUNTIF(M138:R138,"S")&gt;0,"Tier 4: Should only",IF(COUNTIF(M138:R138,"C")&gt;0,"Tier 5: Could only",IF(I138&gt;0,"Tier 6: stated, no priority","Aurigo-only"))))))</f>
        <v>Tier 1: Must in 3+ sources</v>
      </c>
      <c r="M138" s="12" t="s">
        <v>194</v>
      </c>
      <c r="N138" s="12" t="s">
        <v>194</v>
      </c>
      <c r="O138" s="12"/>
      <c r="P138" s="12"/>
      <c r="Q138" s="12"/>
      <c r="R138" s="12" t="s">
        <v>194</v>
      </c>
      <c r="S138" s="8" t="s">
        <v>913</v>
      </c>
      <c r="T138" s="8"/>
      <c r="U138" s="8"/>
      <c r="V138" s="8" t="s">
        <v>197</v>
      </c>
      <c r="W138" s="8" t="s">
        <v>914</v>
      </c>
      <c r="X138" s="8"/>
      <c r="Y138" s="8"/>
      <c r="Z138" s="7" t="s">
        <v>111</v>
      </c>
      <c r="AA138" s="8" t="s">
        <v>112</v>
      </c>
      <c r="AB138" s="9" t="n">
        <v>265</v>
      </c>
      <c r="AC138" s="8" t="s">
        <v>915</v>
      </c>
    </row>
    <row r="139" customFormat="false" ht="49.5" hidden="false" customHeight="true" outlineLevel="0" collapsed="false">
      <c r="A139" s="12" t="s">
        <v>916</v>
      </c>
      <c r="B139" s="8" t="s">
        <v>816</v>
      </c>
      <c r="C139" s="8" t="s">
        <v>917</v>
      </c>
      <c r="D139" s="8" t="s">
        <v>918</v>
      </c>
      <c r="E139" s="8" t="s">
        <v>919</v>
      </c>
      <c r="F139" s="8" t="s">
        <v>920</v>
      </c>
      <c r="G139" s="8" t="s">
        <v>193</v>
      </c>
      <c r="H139" s="8" t="str">
        <f aca="false">IF(COUNTIF(M139:R139,"M")&gt;0,"Must Have",IF(COUNTIF(M139:R139,"S")&gt;0,"Should Have",IF(COUNTIF(M139:R139,"C")&gt;0,"Could Have",IF(COUNTA(M139:R139)&gt;0,"Stated – no priority","Aurigo-only (no RFP source)"))))</f>
        <v>Must Have</v>
      </c>
      <c r="I139" s="12" t="n">
        <f aca="false">COUNTA(M139:R139)</f>
        <v>2</v>
      </c>
      <c r="J139" s="12" t="n">
        <f aca="false">COUNTIF(M139:R139,"M")</f>
        <v>2</v>
      </c>
      <c r="K139" s="8" t="str">
        <f aca="false">IF(I139=0,"Aurigo-only",IF(I139=1,"Single source",IF(I139=2,"Two sources",IF(I139&lt;=4,"Common (3-4)","Broad (5+)"))))</f>
        <v>Two sources</v>
      </c>
      <c r="L139" s="8" t="str">
        <f aca="false">IF(J139&gt;=3,"Tier 1: Must in 3+ sources",IF(J139=2,"Tier 2: Must in 2 sources",IF(J139=1,"Tier 3: Must in 1 source",IF(COUNTIF(M139:R139,"S")&gt;0,"Tier 4: Should only",IF(COUNTIF(M139:R139,"C")&gt;0,"Tier 5: Could only",IF(I139&gt;0,"Tier 6: stated, no priority","Aurigo-only"))))))</f>
        <v>Tier 2: Must in 2 sources</v>
      </c>
      <c r="M139" s="12" t="s">
        <v>194</v>
      </c>
      <c r="N139" s="12"/>
      <c r="O139" s="12"/>
      <c r="P139" s="12"/>
      <c r="Q139" s="12"/>
      <c r="R139" s="12" t="s">
        <v>194</v>
      </c>
      <c r="S139" s="8" t="s">
        <v>921</v>
      </c>
      <c r="T139" s="8"/>
      <c r="U139" s="8"/>
      <c r="V139" s="8" t="s">
        <v>197</v>
      </c>
      <c r="W139" s="8" t="s">
        <v>922</v>
      </c>
      <c r="X139" s="8"/>
      <c r="Y139" s="8"/>
      <c r="Z139" s="7" t="s">
        <v>114</v>
      </c>
      <c r="AA139" s="8" t="s">
        <v>115</v>
      </c>
      <c r="AB139" s="9" t="n">
        <v>268</v>
      </c>
      <c r="AC139" s="8" t="s">
        <v>923</v>
      </c>
    </row>
    <row r="140" customFormat="false" ht="24.75" hidden="false" customHeight="true" outlineLevel="0" collapsed="false">
      <c r="A140" s="12" t="s">
        <v>924</v>
      </c>
      <c r="B140" s="8" t="s">
        <v>816</v>
      </c>
      <c r="C140" s="8" t="s">
        <v>917</v>
      </c>
      <c r="D140" s="8" t="s">
        <v>918</v>
      </c>
      <c r="E140" s="8" t="s">
        <v>925</v>
      </c>
      <c r="F140" s="8" t="s">
        <v>926</v>
      </c>
      <c r="G140" s="8" t="s">
        <v>397</v>
      </c>
      <c r="H140" s="8" t="str">
        <f aca="false">IF(COUNTIF(M140:R140,"M")&gt;0,"Must Have",IF(COUNTIF(M140:R140,"S")&gt;0,"Should Have",IF(COUNTIF(M140:R140,"C")&gt;0,"Could Have",IF(COUNTA(M140:R140)&gt;0,"Stated – no priority","Aurigo-only (no RFP source)"))))</f>
        <v>Must Have</v>
      </c>
      <c r="I140" s="12" t="n">
        <f aca="false">COUNTA(M140:R140)</f>
        <v>1</v>
      </c>
      <c r="J140" s="12" t="n">
        <f aca="false">COUNTIF(M140:R140,"M")</f>
        <v>1</v>
      </c>
      <c r="K140" s="8" t="str">
        <f aca="false">IF(I140=0,"Aurigo-only",IF(I140=1,"Single source",IF(I140=2,"Two sources",IF(I140&lt;=4,"Common (3-4)","Broad (5+)"))))</f>
        <v>Single source</v>
      </c>
      <c r="L140" s="8" t="str">
        <f aca="false">IF(J140&gt;=3,"Tier 1: Must in 3+ sources",IF(J140=2,"Tier 2: Must in 2 sources",IF(J140=1,"Tier 3: Must in 1 source",IF(COUNTIF(M140:R140,"S")&gt;0,"Tier 4: Should only",IF(COUNTIF(M140:R140,"C")&gt;0,"Tier 5: Could only",IF(I140&gt;0,"Tier 6: stated, no priority","Aurigo-only"))))))</f>
        <v>Tier 3: Must in 1 source</v>
      </c>
      <c r="M140" s="12" t="s">
        <v>194</v>
      </c>
      <c r="N140" s="12"/>
      <c r="O140" s="12"/>
      <c r="P140" s="12"/>
      <c r="Q140" s="12"/>
      <c r="R140" s="12"/>
      <c r="S140" s="8" t="s">
        <v>927</v>
      </c>
      <c r="T140" s="8"/>
      <c r="U140" s="8"/>
      <c r="V140" s="8" t="s">
        <v>204</v>
      </c>
      <c r="W140" s="8" t="s">
        <v>205</v>
      </c>
      <c r="X140" s="8"/>
      <c r="Y140" s="8"/>
      <c r="Z140" s="7" t="s">
        <v>132</v>
      </c>
      <c r="AA140" s="8" t="s">
        <v>133</v>
      </c>
      <c r="AB140" s="9" t="n">
        <v>307</v>
      </c>
      <c r="AC140" s="8" t="s">
        <v>928</v>
      </c>
    </row>
    <row r="141" customFormat="false" ht="37.5" hidden="false" customHeight="true" outlineLevel="0" collapsed="false">
      <c r="A141" s="12" t="s">
        <v>929</v>
      </c>
      <c r="B141" s="8" t="s">
        <v>816</v>
      </c>
      <c r="C141" s="8" t="s">
        <v>917</v>
      </c>
      <c r="D141" s="8" t="s">
        <v>918</v>
      </c>
      <c r="E141" s="8" t="s">
        <v>930</v>
      </c>
      <c r="F141" s="8" t="s">
        <v>931</v>
      </c>
      <c r="G141" s="8" t="s">
        <v>397</v>
      </c>
      <c r="H141" s="8" t="str">
        <f aca="false">IF(COUNTIF(M141:R141,"M")&gt;0,"Must Have",IF(COUNTIF(M141:R141,"S")&gt;0,"Should Have",IF(COUNTIF(M141:R141,"C")&gt;0,"Could Have",IF(COUNTA(M141:R141)&gt;0,"Stated – no priority","Aurigo-only (no RFP source)"))))</f>
        <v>Must Have</v>
      </c>
      <c r="I141" s="12" t="n">
        <f aca="false">COUNTA(M141:R141)</f>
        <v>1</v>
      </c>
      <c r="J141" s="12" t="n">
        <f aca="false">COUNTIF(M141:R141,"M")</f>
        <v>1</v>
      </c>
      <c r="K141" s="8" t="str">
        <f aca="false">IF(I141=0,"Aurigo-only",IF(I141=1,"Single source",IF(I141=2,"Two sources",IF(I141&lt;=4,"Common (3-4)","Broad (5+)"))))</f>
        <v>Single source</v>
      </c>
      <c r="L141" s="8" t="str">
        <f aca="false">IF(J141&gt;=3,"Tier 1: Must in 3+ sources",IF(J141=2,"Tier 2: Must in 2 sources",IF(J141=1,"Tier 3: Must in 1 source",IF(COUNTIF(M141:R141,"S")&gt;0,"Tier 4: Should only",IF(COUNTIF(M141:R141,"C")&gt;0,"Tier 5: Could only",IF(I141&gt;0,"Tier 6: stated, no priority","Aurigo-only"))))))</f>
        <v>Tier 3: Must in 1 source</v>
      </c>
      <c r="M141" s="12" t="s">
        <v>194</v>
      </c>
      <c r="N141" s="12"/>
      <c r="O141" s="12"/>
      <c r="P141" s="12"/>
      <c r="Q141" s="12"/>
      <c r="R141" s="12"/>
      <c r="S141" s="8" t="s">
        <v>932</v>
      </c>
      <c r="T141" s="8"/>
      <c r="U141" s="8" t="s">
        <v>933</v>
      </c>
      <c r="V141" s="8" t="s">
        <v>204</v>
      </c>
      <c r="W141" s="8" t="s">
        <v>205</v>
      </c>
      <c r="X141" s="8"/>
      <c r="Y141" s="8" t="s">
        <v>934</v>
      </c>
      <c r="Z141" s="7" t="s">
        <v>132</v>
      </c>
      <c r="AA141" s="8" t="s">
        <v>133</v>
      </c>
      <c r="AB141" s="9" t="n">
        <v>308</v>
      </c>
      <c r="AC141" s="8" t="s">
        <v>935</v>
      </c>
    </row>
    <row r="142" customFormat="false" ht="75" hidden="false" customHeight="true" outlineLevel="0" collapsed="false">
      <c r="A142" s="12" t="s">
        <v>936</v>
      </c>
      <c r="B142" s="8" t="s">
        <v>816</v>
      </c>
      <c r="C142" s="8" t="s">
        <v>937</v>
      </c>
      <c r="D142" s="8" t="s">
        <v>938</v>
      </c>
      <c r="E142" s="8" t="s">
        <v>939</v>
      </c>
      <c r="F142" s="8" t="s">
        <v>940</v>
      </c>
      <c r="G142" s="8" t="s">
        <v>193</v>
      </c>
      <c r="H142" s="8" t="str">
        <f aca="false">IF(COUNTIF(M142:R142,"M")&gt;0,"Must Have",IF(COUNTIF(M142:R142,"S")&gt;0,"Should Have",IF(COUNTIF(M142:R142,"C")&gt;0,"Could Have",IF(COUNTA(M142:R142)&gt;0,"Stated – no priority","Aurigo-only (no RFP source)"))))</f>
        <v>Must Have</v>
      </c>
      <c r="I142" s="12" t="n">
        <f aca="false">COUNTA(M142:R142)</f>
        <v>3</v>
      </c>
      <c r="J142" s="12" t="n">
        <f aca="false">COUNTIF(M142:R142,"M")</f>
        <v>2</v>
      </c>
      <c r="K142" s="8" t="str">
        <f aca="false">IF(I142=0,"Aurigo-only",IF(I142=1,"Single source",IF(I142=2,"Two sources",IF(I142&lt;=4,"Common (3-4)","Broad (5+)"))))</f>
        <v>Common (3-4)</v>
      </c>
      <c r="L142" s="8" t="str">
        <f aca="false">IF(J142&gt;=3,"Tier 1: Must in 3+ sources",IF(J142=2,"Tier 2: Must in 2 sources",IF(J142=1,"Tier 3: Must in 1 source",IF(COUNTIF(M142:R142,"S")&gt;0,"Tier 4: Should only",IF(COUNTIF(M142:R142,"C")&gt;0,"Tier 5: Could only",IF(I142&gt;0,"Tier 6: stated, no priority","Aurigo-only"))))))</f>
        <v>Tier 2: Must in 2 sources</v>
      </c>
      <c r="M142" s="12" t="s">
        <v>194</v>
      </c>
      <c r="N142" s="12" t="s">
        <v>194</v>
      </c>
      <c r="O142" s="12"/>
      <c r="P142" s="12" t="s">
        <v>195</v>
      </c>
      <c r="Q142" s="12"/>
      <c r="R142" s="12"/>
      <c r="S142" s="8" t="s">
        <v>941</v>
      </c>
      <c r="T142" s="8" t="s">
        <v>942</v>
      </c>
      <c r="U142" s="8"/>
      <c r="V142" s="8" t="s">
        <v>227</v>
      </c>
      <c r="W142" s="8" t="s">
        <v>943</v>
      </c>
      <c r="X142" s="8"/>
      <c r="Y142" s="8"/>
      <c r="Z142" s="7" t="s">
        <v>117</v>
      </c>
      <c r="AA142" s="8" t="s">
        <v>118</v>
      </c>
      <c r="AB142" s="9" t="n">
        <v>271</v>
      </c>
      <c r="AC142" s="8" t="s">
        <v>944</v>
      </c>
    </row>
    <row r="143" customFormat="false" ht="24.75" hidden="false" customHeight="true" outlineLevel="0" collapsed="false">
      <c r="A143" s="12" t="s">
        <v>945</v>
      </c>
      <c r="B143" s="8" t="s">
        <v>816</v>
      </c>
      <c r="C143" s="8" t="s">
        <v>937</v>
      </c>
      <c r="D143" s="8" t="s">
        <v>946</v>
      </c>
      <c r="E143" s="8" t="s">
        <v>947</v>
      </c>
      <c r="F143" s="8" t="s">
        <v>948</v>
      </c>
      <c r="G143" s="8" t="s">
        <v>193</v>
      </c>
      <c r="H143" s="8" t="str">
        <f aca="false">IF(COUNTIF(M143:R143,"M")&gt;0,"Must Have",IF(COUNTIF(M143:R143,"S")&gt;0,"Should Have",IF(COUNTIF(M143:R143,"C")&gt;0,"Could Have",IF(COUNTA(M143:R143)&gt;0,"Stated – no priority","Aurigo-only (no RFP source)"))))</f>
        <v>Stated – no priority</v>
      </c>
      <c r="I143" s="12" t="n">
        <f aca="false">COUNTA(M143:R143)</f>
        <v>1</v>
      </c>
      <c r="J143" s="12" t="n">
        <f aca="false">COUNTIF(M143:R143,"M")</f>
        <v>0</v>
      </c>
      <c r="K143" s="8" t="str">
        <f aca="false">IF(I143=0,"Aurigo-only",IF(I143=1,"Single source",IF(I143=2,"Two sources",IF(I143&lt;=4,"Common (3-4)","Broad (5+)"))))</f>
        <v>Single source</v>
      </c>
      <c r="L143" s="8" t="str">
        <f aca="false">IF(J143&gt;=3,"Tier 1: Must in 3+ sources",IF(J143=2,"Tier 2: Must in 2 sources",IF(J143=1,"Tier 3: Must in 1 source",IF(COUNTIF(M143:R143,"S")&gt;0,"Tier 4: Should only",IF(COUNTIF(M143:R143,"C")&gt;0,"Tier 5: Could only",IF(I143&gt;0,"Tier 6: stated, no priority","Aurigo-only"))))))</f>
        <v>Tier 6: stated, no priority</v>
      </c>
      <c r="M143" s="12"/>
      <c r="N143" s="12"/>
      <c r="O143" s="12"/>
      <c r="P143" s="12" t="s">
        <v>195</v>
      </c>
      <c r="Q143" s="12"/>
      <c r="R143" s="12"/>
      <c r="S143" s="8" t="s">
        <v>949</v>
      </c>
      <c r="T143" s="8" t="s">
        <v>950</v>
      </c>
      <c r="U143" s="8"/>
      <c r="V143" s="8" t="s">
        <v>197</v>
      </c>
      <c r="W143" s="8" t="s">
        <v>951</v>
      </c>
      <c r="X143" s="8"/>
      <c r="Y143" s="8"/>
      <c r="Z143" s="7" t="s">
        <v>120</v>
      </c>
      <c r="AA143" s="8" t="s">
        <v>121</v>
      </c>
      <c r="AB143" s="9" t="n">
        <v>277</v>
      </c>
      <c r="AC143" s="8" t="s">
        <v>936</v>
      </c>
    </row>
    <row r="144" customFormat="false" ht="49.5" hidden="false" customHeight="true" outlineLevel="0" collapsed="false">
      <c r="A144" s="12" t="s">
        <v>952</v>
      </c>
      <c r="B144" s="8" t="s">
        <v>816</v>
      </c>
      <c r="C144" s="8" t="s">
        <v>937</v>
      </c>
      <c r="D144" s="8" t="s">
        <v>946</v>
      </c>
      <c r="E144" s="8" t="s">
        <v>953</v>
      </c>
      <c r="F144" s="8" t="s">
        <v>954</v>
      </c>
      <c r="G144" s="8" t="s">
        <v>370</v>
      </c>
      <c r="H144" s="8" t="str">
        <f aca="false">IF(COUNTIF(M144:R144,"M")&gt;0,"Must Have",IF(COUNTIF(M144:R144,"S")&gt;0,"Should Have",IF(COUNTIF(M144:R144,"C")&gt;0,"Could Have",IF(COUNTA(M144:R144)&gt;0,"Stated – no priority","Aurigo-only (no RFP source)"))))</f>
        <v>Must Have</v>
      </c>
      <c r="I144" s="12" t="n">
        <f aca="false">COUNTA(M144:R144)</f>
        <v>2</v>
      </c>
      <c r="J144" s="12" t="n">
        <f aca="false">COUNTIF(M144:R144,"M")</f>
        <v>2</v>
      </c>
      <c r="K144" s="8" t="str">
        <f aca="false">IF(I144=0,"Aurigo-only",IF(I144=1,"Single source",IF(I144=2,"Two sources",IF(I144&lt;=4,"Common (3-4)","Broad (5+)"))))</f>
        <v>Two sources</v>
      </c>
      <c r="L144" s="8" t="str">
        <f aca="false">IF(J144&gt;=3,"Tier 1: Must in 3+ sources",IF(J144=2,"Tier 2: Must in 2 sources",IF(J144=1,"Tier 3: Must in 1 source",IF(COUNTIF(M144:R144,"S")&gt;0,"Tier 4: Should only",IF(COUNTIF(M144:R144,"C")&gt;0,"Tier 5: Could only",IF(I144&gt;0,"Tier 6: stated, no priority","Aurigo-only"))))))</f>
        <v>Tier 2: Must in 2 sources</v>
      </c>
      <c r="M144" s="12" t="s">
        <v>194</v>
      </c>
      <c r="N144" s="12" t="s">
        <v>194</v>
      </c>
      <c r="O144" s="12"/>
      <c r="P144" s="12"/>
      <c r="Q144" s="12"/>
      <c r="R144" s="12"/>
      <c r="S144" s="8" t="s">
        <v>955</v>
      </c>
      <c r="T144" s="8"/>
      <c r="U144" s="8"/>
      <c r="V144" s="8" t="s">
        <v>197</v>
      </c>
      <c r="W144" s="8" t="s">
        <v>956</v>
      </c>
      <c r="X144" s="8"/>
      <c r="Y144" s="8"/>
      <c r="Z144" s="7" t="s">
        <v>120</v>
      </c>
      <c r="AA144" s="8" t="s">
        <v>121</v>
      </c>
      <c r="AB144" s="9" t="n">
        <v>280</v>
      </c>
      <c r="AC144" s="8" t="s">
        <v>945</v>
      </c>
    </row>
    <row r="145" customFormat="false" ht="24.75" hidden="false" customHeight="true" outlineLevel="0" collapsed="false">
      <c r="A145" s="12" t="s">
        <v>957</v>
      </c>
      <c r="B145" s="8" t="s">
        <v>816</v>
      </c>
      <c r="C145" s="8" t="s">
        <v>937</v>
      </c>
      <c r="D145" s="8" t="s">
        <v>512</v>
      </c>
      <c r="E145" s="8" t="s">
        <v>958</v>
      </c>
      <c r="F145" s="8" t="s">
        <v>959</v>
      </c>
      <c r="G145" s="8" t="s">
        <v>193</v>
      </c>
      <c r="H145" s="8" t="str">
        <f aca="false">IF(COUNTIF(M145:R145,"M")&gt;0,"Must Have",IF(COUNTIF(M145:R145,"S")&gt;0,"Should Have",IF(COUNTIF(M145:R145,"C")&gt;0,"Could Have",IF(COUNTA(M145:R145)&gt;0,"Stated – no priority","Aurigo-only (no RFP source)"))))</f>
        <v>Must Have</v>
      </c>
      <c r="I145" s="12" t="n">
        <f aca="false">COUNTA(M145:R145)</f>
        <v>1</v>
      </c>
      <c r="J145" s="12" t="n">
        <f aca="false">COUNTIF(M145:R145,"M")</f>
        <v>1</v>
      </c>
      <c r="K145" s="8" t="str">
        <f aca="false">IF(I145=0,"Aurigo-only",IF(I145=1,"Single source",IF(I145=2,"Two sources",IF(I145&lt;=4,"Common (3-4)","Broad (5+)"))))</f>
        <v>Single source</v>
      </c>
      <c r="L145" s="8" t="str">
        <f aca="false">IF(J145&gt;=3,"Tier 1: Must in 3+ sources",IF(J145=2,"Tier 2: Must in 2 sources",IF(J145=1,"Tier 3: Must in 1 source",IF(COUNTIF(M145:R145,"S")&gt;0,"Tier 4: Should only",IF(COUNTIF(M145:R145,"C")&gt;0,"Tier 5: Could only",IF(I145&gt;0,"Tier 6: stated, no priority","Aurigo-only"))))))</f>
        <v>Tier 3: Must in 1 source</v>
      </c>
      <c r="M145" s="12" t="s">
        <v>194</v>
      </c>
      <c r="N145" s="12"/>
      <c r="O145" s="12"/>
      <c r="P145" s="12"/>
      <c r="Q145" s="12"/>
      <c r="R145" s="12"/>
      <c r="S145" s="8" t="s">
        <v>960</v>
      </c>
      <c r="T145" s="8"/>
      <c r="U145" s="8"/>
      <c r="V145" s="8" t="s">
        <v>204</v>
      </c>
      <c r="W145" s="8" t="s">
        <v>205</v>
      </c>
      <c r="X145" s="8"/>
      <c r="Y145" s="8"/>
      <c r="Z145" s="7" t="s">
        <v>120</v>
      </c>
      <c r="AA145" s="8" t="s">
        <v>121</v>
      </c>
      <c r="AB145" s="9" t="n">
        <v>281</v>
      </c>
      <c r="AC145" s="8" t="s">
        <v>815</v>
      </c>
    </row>
    <row r="146" customFormat="false" ht="24.75" hidden="false" customHeight="true" outlineLevel="0" collapsed="false">
      <c r="A146" s="12" t="s">
        <v>961</v>
      </c>
      <c r="B146" s="8" t="s">
        <v>816</v>
      </c>
      <c r="C146" s="8" t="s">
        <v>937</v>
      </c>
      <c r="D146" s="8" t="s">
        <v>711</v>
      </c>
      <c r="E146" s="8" t="s">
        <v>962</v>
      </c>
      <c r="F146" s="8" t="s">
        <v>963</v>
      </c>
      <c r="G146" s="8" t="s">
        <v>370</v>
      </c>
      <c r="H146" s="8" t="str">
        <f aca="false">IF(COUNTIF(M146:R146,"M")&gt;0,"Must Have",IF(COUNTIF(M146:R146,"S")&gt;0,"Should Have",IF(COUNTIF(M146:R146,"C")&gt;0,"Could Have",IF(COUNTA(M146:R146)&gt;0,"Stated – no priority","Aurigo-only (no RFP source)"))))</f>
        <v>Must Have</v>
      </c>
      <c r="I146" s="12" t="n">
        <f aca="false">COUNTA(M146:R146)</f>
        <v>1</v>
      </c>
      <c r="J146" s="12" t="n">
        <f aca="false">COUNTIF(M146:R146,"M")</f>
        <v>1</v>
      </c>
      <c r="K146" s="8" t="str">
        <f aca="false">IF(I146=0,"Aurigo-only",IF(I146=1,"Single source",IF(I146=2,"Two sources",IF(I146&lt;=4,"Common (3-4)","Broad (5+)"))))</f>
        <v>Single source</v>
      </c>
      <c r="L146" s="8" t="str">
        <f aca="false">IF(J146&gt;=3,"Tier 1: Must in 3+ sources",IF(J146=2,"Tier 2: Must in 2 sources",IF(J146=1,"Tier 3: Must in 1 source",IF(COUNTIF(M146:R146,"S")&gt;0,"Tier 4: Should only",IF(COUNTIF(M146:R146,"C")&gt;0,"Tier 5: Could only",IF(I146&gt;0,"Tier 6: stated, no priority","Aurigo-only"))))))</f>
        <v>Tier 3: Must in 1 source</v>
      </c>
      <c r="M146" s="12" t="s">
        <v>194</v>
      </c>
      <c r="N146" s="12"/>
      <c r="O146" s="12"/>
      <c r="P146" s="12"/>
      <c r="Q146" s="12"/>
      <c r="R146" s="12"/>
      <c r="S146" s="8" t="s">
        <v>964</v>
      </c>
      <c r="T146" s="8"/>
      <c r="U146" s="8"/>
      <c r="V146" s="8" t="s">
        <v>204</v>
      </c>
      <c r="W146" s="8" t="s">
        <v>205</v>
      </c>
      <c r="X146" s="8"/>
      <c r="Y146" s="8"/>
      <c r="Z146" s="7" t="s">
        <v>120</v>
      </c>
      <c r="AA146" s="8" t="s">
        <v>121</v>
      </c>
      <c r="AB146" s="9" t="n">
        <v>282</v>
      </c>
      <c r="AC146" s="8" t="s">
        <v>965</v>
      </c>
    </row>
    <row r="147" customFormat="false" ht="75" hidden="false" customHeight="true" outlineLevel="0" collapsed="false">
      <c r="A147" s="12" t="s">
        <v>966</v>
      </c>
      <c r="B147" s="8" t="s">
        <v>816</v>
      </c>
      <c r="C147" s="8" t="s">
        <v>937</v>
      </c>
      <c r="D147" s="8" t="s">
        <v>711</v>
      </c>
      <c r="E147" s="8" t="s">
        <v>967</v>
      </c>
      <c r="F147" s="8" t="s">
        <v>968</v>
      </c>
      <c r="G147" s="8" t="s">
        <v>370</v>
      </c>
      <c r="H147" s="8" t="str">
        <f aca="false">IF(COUNTIF(M147:R147,"M")&gt;0,"Must Have",IF(COUNTIF(M147:R147,"S")&gt;0,"Should Have",IF(COUNTIF(M147:R147,"C")&gt;0,"Could Have",IF(COUNTA(M147:R147)&gt;0,"Stated – no priority","Aurigo-only (no RFP source)"))))</f>
        <v>Must Have</v>
      </c>
      <c r="I147" s="12" t="n">
        <f aca="false">COUNTA(M147:R147)</f>
        <v>3</v>
      </c>
      <c r="J147" s="12" t="n">
        <f aca="false">COUNTIF(M147:R147,"M")</f>
        <v>3</v>
      </c>
      <c r="K147" s="8" t="str">
        <f aca="false">IF(I147=0,"Aurigo-only",IF(I147=1,"Single source",IF(I147=2,"Two sources",IF(I147&lt;=4,"Common (3-4)","Broad (5+)"))))</f>
        <v>Common (3-4)</v>
      </c>
      <c r="L147" s="8" t="str">
        <f aca="false">IF(J147&gt;=3,"Tier 1: Must in 3+ sources",IF(J147=2,"Tier 2: Must in 2 sources",IF(J147=1,"Tier 3: Must in 1 source",IF(COUNTIF(M147:R147,"S")&gt;0,"Tier 4: Should only",IF(COUNTIF(M147:R147,"C")&gt;0,"Tier 5: Could only",IF(I147&gt;0,"Tier 6: stated, no priority","Aurigo-only"))))))</f>
        <v>Tier 1: Must in 3+ sources</v>
      </c>
      <c r="M147" s="12" t="s">
        <v>194</v>
      </c>
      <c r="N147" s="12" t="s">
        <v>194</v>
      </c>
      <c r="O147" s="12"/>
      <c r="P147" s="12"/>
      <c r="Q147" s="12"/>
      <c r="R147" s="12" t="s">
        <v>194</v>
      </c>
      <c r="S147" s="8" t="s">
        <v>969</v>
      </c>
      <c r="T147" s="8"/>
      <c r="U147" s="8"/>
      <c r="V147" s="8" t="s">
        <v>197</v>
      </c>
      <c r="W147" s="8" t="s">
        <v>970</v>
      </c>
      <c r="X147" s="8"/>
      <c r="Y147" s="8"/>
      <c r="Z147" s="7" t="s">
        <v>120</v>
      </c>
      <c r="AA147" s="8" t="s">
        <v>121</v>
      </c>
      <c r="AB147" s="9" t="n">
        <v>279</v>
      </c>
      <c r="AC147" s="8" t="s">
        <v>971</v>
      </c>
    </row>
    <row r="148" customFormat="false" ht="24.75" hidden="false" customHeight="true" outlineLevel="0" collapsed="false">
      <c r="A148" s="12" t="s">
        <v>972</v>
      </c>
      <c r="B148" s="8" t="s">
        <v>816</v>
      </c>
      <c r="C148" s="8" t="s">
        <v>973</v>
      </c>
      <c r="D148" s="8" t="s">
        <v>974</v>
      </c>
      <c r="E148" s="8" t="s">
        <v>975</v>
      </c>
      <c r="F148" s="8" t="s">
        <v>976</v>
      </c>
      <c r="G148" s="8" t="s">
        <v>193</v>
      </c>
      <c r="H148" s="8" t="str">
        <f aca="false">IF(COUNTIF(M148:R148,"M")&gt;0,"Must Have",IF(COUNTIF(M148:R148,"S")&gt;0,"Should Have",IF(COUNTIF(M148:R148,"C")&gt;0,"Could Have",IF(COUNTA(M148:R148)&gt;0,"Stated – no priority","Aurigo-only (no RFP source)"))))</f>
        <v>Must Have</v>
      </c>
      <c r="I148" s="12" t="n">
        <f aca="false">COUNTA(M148:R148)</f>
        <v>1</v>
      </c>
      <c r="J148" s="12" t="n">
        <f aca="false">COUNTIF(M148:R148,"M")</f>
        <v>1</v>
      </c>
      <c r="K148" s="8" t="str">
        <f aca="false">IF(I148=0,"Aurigo-only",IF(I148=1,"Single source",IF(I148=2,"Two sources",IF(I148&lt;=4,"Common (3-4)","Broad (5+)"))))</f>
        <v>Single source</v>
      </c>
      <c r="L148" s="8" t="str">
        <f aca="false">IF(J148&gt;=3,"Tier 1: Must in 3+ sources",IF(J148=2,"Tier 2: Must in 2 sources",IF(J148=1,"Tier 3: Must in 1 source",IF(COUNTIF(M148:R148,"S")&gt;0,"Tier 4: Should only",IF(COUNTIF(M148:R148,"C")&gt;0,"Tier 5: Could only",IF(I148&gt;0,"Tier 6: stated, no priority","Aurigo-only"))))))</f>
        <v>Tier 3: Must in 1 source</v>
      </c>
      <c r="M148" s="12" t="s">
        <v>194</v>
      </c>
      <c r="N148" s="12"/>
      <c r="O148" s="12"/>
      <c r="P148" s="12"/>
      <c r="Q148" s="12"/>
      <c r="R148" s="12"/>
      <c r="S148" s="8" t="s">
        <v>977</v>
      </c>
      <c r="T148" s="8"/>
      <c r="U148" s="8"/>
      <c r="V148" s="8" t="s">
        <v>204</v>
      </c>
      <c r="W148" s="8" t="s">
        <v>205</v>
      </c>
      <c r="X148" s="8"/>
      <c r="Y148" s="8"/>
      <c r="Z148" s="7" t="s">
        <v>138</v>
      </c>
      <c r="AA148" s="8" t="s">
        <v>139</v>
      </c>
      <c r="AB148" s="9" t="n">
        <v>321</v>
      </c>
      <c r="AC148" s="8" t="s">
        <v>815</v>
      </c>
    </row>
    <row r="149" customFormat="false" ht="37.5" hidden="false" customHeight="true" outlineLevel="0" collapsed="false">
      <c r="A149" s="12" t="s">
        <v>978</v>
      </c>
      <c r="B149" s="8" t="s">
        <v>816</v>
      </c>
      <c r="C149" s="8" t="s">
        <v>973</v>
      </c>
      <c r="D149" s="8" t="s">
        <v>974</v>
      </c>
      <c r="E149" s="8" t="s">
        <v>979</v>
      </c>
      <c r="F149" s="8" t="s">
        <v>980</v>
      </c>
      <c r="G149" s="8" t="s">
        <v>403</v>
      </c>
      <c r="H149" s="8" t="str">
        <f aca="false">IF(COUNTIF(M149:R149,"M")&gt;0,"Must Have",IF(COUNTIF(M149:R149,"S")&gt;0,"Should Have",IF(COUNTIF(M149:R149,"C")&gt;0,"Could Have",IF(COUNTA(M149:R149)&gt;0,"Stated – no priority","Aurigo-only (no RFP source)"))))</f>
        <v>Must Have</v>
      </c>
      <c r="I149" s="12" t="n">
        <f aca="false">COUNTA(M149:R149)</f>
        <v>1</v>
      </c>
      <c r="J149" s="12" t="n">
        <f aca="false">COUNTIF(M149:R149,"M")</f>
        <v>1</v>
      </c>
      <c r="K149" s="8" t="str">
        <f aca="false">IF(I149=0,"Aurigo-only",IF(I149=1,"Single source",IF(I149=2,"Two sources",IF(I149&lt;=4,"Common (3-4)","Broad (5+)"))))</f>
        <v>Single source</v>
      </c>
      <c r="L149" s="8" t="str">
        <f aca="false">IF(J149&gt;=3,"Tier 1: Must in 3+ sources",IF(J149=2,"Tier 2: Must in 2 sources",IF(J149=1,"Tier 3: Must in 1 source",IF(COUNTIF(M149:R149,"S")&gt;0,"Tier 4: Should only",IF(COUNTIF(M149:R149,"C")&gt;0,"Tier 5: Could only",IF(I149&gt;0,"Tier 6: stated, no priority","Aurigo-only"))))))</f>
        <v>Tier 3: Must in 1 source</v>
      </c>
      <c r="M149" s="12" t="s">
        <v>194</v>
      </c>
      <c r="N149" s="12"/>
      <c r="O149" s="12"/>
      <c r="P149" s="12"/>
      <c r="Q149" s="12"/>
      <c r="R149" s="12"/>
      <c r="S149" s="8" t="s">
        <v>981</v>
      </c>
      <c r="T149" s="8"/>
      <c r="U149" s="8"/>
      <c r="V149" s="8" t="s">
        <v>204</v>
      </c>
      <c r="W149" s="8" t="s">
        <v>205</v>
      </c>
      <c r="X149" s="8"/>
      <c r="Y149" s="8"/>
      <c r="Z149" s="7" t="s">
        <v>138</v>
      </c>
      <c r="AA149" s="8" t="s">
        <v>139</v>
      </c>
      <c r="AB149" s="9" t="n">
        <v>319</v>
      </c>
      <c r="AC149" s="8" t="s">
        <v>982</v>
      </c>
    </row>
    <row r="150" customFormat="false" ht="37.5" hidden="false" customHeight="true" outlineLevel="0" collapsed="false">
      <c r="A150" s="12" t="s">
        <v>983</v>
      </c>
      <c r="B150" s="8" t="s">
        <v>816</v>
      </c>
      <c r="C150" s="8" t="s">
        <v>973</v>
      </c>
      <c r="D150" s="8" t="s">
        <v>974</v>
      </c>
      <c r="E150" s="8" t="s">
        <v>984</v>
      </c>
      <c r="F150" s="8" t="s">
        <v>985</v>
      </c>
      <c r="G150" s="8" t="s">
        <v>370</v>
      </c>
      <c r="H150" s="8" t="str">
        <f aca="false">IF(COUNTIF(M150:R150,"M")&gt;0,"Must Have",IF(COUNTIF(M150:R150,"S")&gt;0,"Should Have",IF(COUNTIF(M150:R150,"C")&gt;0,"Could Have",IF(COUNTA(M150:R150)&gt;0,"Stated – no priority","Aurigo-only (no RFP source)"))))</f>
        <v>Must Have</v>
      </c>
      <c r="I150" s="12" t="n">
        <f aca="false">COUNTA(M150:R150)</f>
        <v>1</v>
      </c>
      <c r="J150" s="12" t="n">
        <f aca="false">COUNTIF(M150:R150,"M")</f>
        <v>1</v>
      </c>
      <c r="K150" s="8" t="str">
        <f aca="false">IF(I150=0,"Aurigo-only",IF(I150=1,"Single source",IF(I150=2,"Two sources",IF(I150&lt;=4,"Common (3-4)","Broad (5+)"))))</f>
        <v>Single source</v>
      </c>
      <c r="L150" s="8" t="str">
        <f aca="false">IF(J150&gt;=3,"Tier 1: Must in 3+ sources",IF(J150=2,"Tier 2: Must in 2 sources",IF(J150=1,"Tier 3: Must in 1 source",IF(COUNTIF(M150:R150,"S")&gt;0,"Tier 4: Should only",IF(COUNTIF(M150:R150,"C")&gt;0,"Tier 5: Could only",IF(I150&gt;0,"Tier 6: stated, no priority","Aurigo-only"))))))</f>
        <v>Tier 3: Must in 1 source</v>
      </c>
      <c r="M150" s="12" t="s">
        <v>194</v>
      </c>
      <c r="N150" s="12"/>
      <c r="O150" s="12"/>
      <c r="P150" s="12"/>
      <c r="Q150" s="12"/>
      <c r="R150" s="12"/>
      <c r="S150" s="8" t="s">
        <v>986</v>
      </c>
      <c r="T150" s="8"/>
      <c r="U150" s="8"/>
      <c r="V150" s="8" t="s">
        <v>204</v>
      </c>
      <c r="W150" s="8" t="s">
        <v>205</v>
      </c>
      <c r="X150" s="8" t="s">
        <v>987</v>
      </c>
      <c r="Y150" s="8"/>
      <c r="Z150" s="7" t="s">
        <v>138</v>
      </c>
      <c r="AA150" s="8" t="s">
        <v>139</v>
      </c>
      <c r="AB150" s="9" t="n">
        <v>322</v>
      </c>
      <c r="AC150" s="8" t="s">
        <v>988</v>
      </c>
    </row>
    <row r="151" customFormat="false" ht="49.5" hidden="false" customHeight="true" outlineLevel="0" collapsed="false">
      <c r="A151" s="12" t="s">
        <v>989</v>
      </c>
      <c r="B151" s="8" t="s">
        <v>816</v>
      </c>
      <c r="C151" s="8" t="s">
        <v>973</v>
      </c>
      <c r="D151" s="8" t="s">
        <v>974</v>
      </c>
      <c r="E151" s="8" t="s">
        <v>990</v>
      </c>
      <c r="F151" s="8" t="s">
        <v>991</v>
      </c>
      <c r="G151" s="8" t="s">
        <v>397</v>
      </c>
      <c r="H151" s="8" t="str">
        <f aca="false">IF(COUNTIF(M151:R151,"M")&gt;0,"Must Have",IF(COUNTIF(M151:R151,"S")&gt;0,"Should Have",IF(COUNTIF(M151:R151,"C")&gt;0,"Could Have",IF(COUNTA(M151:R151)&gt;0,"Stated – no priority","Aurigo-only (no RFP source)"))))</f>
        <v>Must Have</v>
      </c>
      <c r="I151" s="12" t="n">
        <f aca="false">COUNTA(M151:R151)</f>
        <v>1</v>
      </c>
      <c r="J151" s="12" t="n">
        <f aca="false">COUNTIF(M151:R151,"M")</f>
        <v>1</v>
      </c>
      <c r="K151" s="8" t="str">
        <f aca="false">IF(I151=0,"Aurigo-only",IF(I151=1,"Single source",IF(I151=2,"Two sources",IF(I151&lt;=4,"Common (3-4)","Broad (5+)"))))</f>
        <v>Single source</v>
      </c>
      <c r="L151" s="8" t="str">
        <f aca="false">IF(J151&gt;=3,"Tier 1: Must in 3+ sources",IF(J151=2,"Tier 2: Must in 2 sources",IF(J151=1,"Tier 3: Must in 1 source",IF(COUNTIF(M151:R151,"S")&gt;0,"Tier 4: Should only",IF(COUNTIF(M151:R151,"C")&gt;0,"Tier 5: Could only",IF(I151&gt;0,"Tier 6: stated, no priority","Aurigo-only"))))))</f>
        <v>Tier 3: Must in 1 source</v>
      </c>
      <c r="M151" s="12" t="s">
        <v>194</v>
      </c>
      <c r="N151" s="12"/>
      <c r="O151" s="12"/>
      <c r="P151" s="12"/>
      <c r="Q151" s="12"/>
      <c r="R151" s="12"/>
      <c r="S151" s="8" t="s">
        <v>992</v>
      </c>
      <c r="T151" s="8"/>
      <c r="U151" s="8" t="s">
        <v>993</v>
      </c>
      <c r="V151" s="8" t="s">
        <v>204</v>
      </c>
      <c r="W151" s="8" t="s">
        <v>205</v>
      </c>
      <c r="X151" s="8" t="s">
        <v>994</v>
      </c>
      <c r="Y151" s="8"/>
      <c r="Z151" s="7" t="s">
        <v>138</v>
      </c>
      <c r="AA151" s="8" t="s">
        <v>139</v>
      </c>
      <c r="AB151" s="9" t="n">
        <v>320</v>
      </c>
      <c r="AC151" s="8" t="s">
        <v>995</v>
      </c>
    </row>
    <row r="152" customFormat="false" ht="49.5" hidden="false" customHeight="true" outlineLevel="0" collapsed="false">
      <c r="A152" s="12" t="s">
        <v>996</v>
      </c>
      <c r="B152" s="8" t="s">
        <v>816</v>
      </c>
      <c r="C152" s="8" t="s">
        <v>973</v>
      </c>
      <c r="D152" s="8" t="s">
        <v>974</v>
      </c>
      <c r="E152" s="8" t="s">
        <v>997</v>
      </c>
      <c r="F152" s="8" t="s">
        <v>998</v>
      </c>
      <c r="G152" s="8" t="s">
        <v>397</v>
      </c>
      <c r="H152" s="8" t="str">
        <f aca="false">IF(COUNTIF(M152:R152,"M")&gt;0,"Must Have",IF(COUNTIF(M152:R152,"S")&gt;0,"Should Have",IF(COUNTIF(M152:R152,"C")&gt;0,"Could Have",IF(COUNTA(M152:R152)&gt;0,"Stated – no priority","Aurigo-only (no RFP source)"))))</f>
        <v>Must Have</v>
      </c>
      <c r="I152" s="12" t="n">
        <f aca="false">COUNTA(M152:R152)</f>
        <v>1</v>
      </c>
      <c r="J152" s="12" t="n">
        <f aca="false">COUNTIF(M152:R152,"M")</f>
        <v>1</v>
      </c>
      <c r="K152" s="8" t="str">
        <f aca="false">IF(I152=0,"Aurigo-only",IF(I152=1,"Single source",IF(I152=2,"Two sources",IF(I152&lt;=4,"Common (3-4)","Broad (5+)"))))</f>
        <v>Single source</v>
      </c>
      <c r="L152" s="8" t="str">
        <f aca="false">IF(J152&gt;=3,"Tier 1: Must in 3+ sources",IF(J152=2,"Tier 2: Must in 2 sources",IF(J152=1,"Tier 3: Must in 1 source",IF(COUNTIF(M152:R152,"S")&gt;0,"Tier 4: Should only",IF(COUNTIF(M152:R152,"C")&gt;0,"Tier 5: Could only",IF(I152&gt;0,"Tier 6: stated, no priority","Aurigo-only"))))))</f>
        <v>Tier 3: Must in 1 source</v>
      </c>
      <c r="M152" s="12" t="s">
        <v>194</v>
      </c>
      <c r="N152" s="12"/>
      <c r="O152" s="12"/>
      <c r="P152" s="12"/>
      <c r="Q152" s="12"/>
      <c r="R152" s="12"/>
      <c r="S152" s="8" t="s">
        <v>999</v>
      </c>
      <c r="T152" s="8"/>
      <c r="U152" s="8" t="s">
        <v>1000</v>
      </c>
      <c r="V152" s="8" t="s">
        <v>204</v>
      </c>
      <c r="W152" s="8" t="s">
        <v>205</v>
      </c>
      <c r="X152" s="8" t="s">
        <v>1001</v>
      </c>
      <c r="Y152" s="8"/>
      <c r="Z152" s="7" t="s">
        <v>138</v>
      </c>
      <c r="AA152" s="8" t="s">
        <v>139</v>
      </c>
      <c r="AB152" s="9" t="n">
        <v>323</v>
      </c>
      <c r="AC152" s="8" t="s">
        <v>1002</v>
      </c>
    </row>
    <row r="153" customFormat="false" ht="24.75" hidden="false" customHeight="true" outlineLevel="0" collapsed="false">
      <c r="A153" s="12" t="s">
        <v>1003</v>
      </c>
      <c r="B153" s="8" t="s">
        <v>1004</v>
      </c>
      <c r="C153" s="8" t="s">
        <v>1005</v>
      </c>
      <c r="D153" s="8" t="s">
        <v>1006</v>
      </c>
      <c r="E153" s="8" t="s">
        <v>1007</v>
      </c>
      <c r="F153" s="8" t="s">
        <v>1008</v>
      </c>
      <c r="G153" s="8" t="s">
        <v>193</v>
      </c>
      <c r="H153" s="8" t="str">
        <f aca="false">IF(COUNTIF(M153:R153,"M")&gt;0,"Must Have",IF(COUNTIF(M153:R153,"S")&gt;0,"Should Have",IF(COUNTIF(M153:R153,"C")&gt;0,"Could Have",IF(COUNTA(M153:R153)&gt;0,"Stated – no priority","Aurigo-only (no RFP source)"))))</f>
        <v>Must Have</v>
      </c>
      <c r="I153" s="12" t="n">
        <f aca="false">COUNTA(M153:R153)</f>
        <v>1</v>
      </c>
      <c r="J153" s="12" t="n">
        <f aca="false">COUNTIF(M153:R153,"M")</f>
        <v>1</v>
      </c>
      <c r="K153" s="8" t="str">
        <f aca="false">IF(I153=0,"Aurigo-only",IF(I153=1,"Single source",IF(I153=2,"Two sources",IF(I153&lt;=4,"Common (3-4)","Broad (5+)"))))</f>
        <v>Single source</v>
      </c>
      <c r="L153" s="8" t="str">
        <f aca="false">IF(J153&gt;=3,"Tier 1: Must in 3+ sources",IF(J153=2,"Tier 2: Must in 2 sources",IF(J153=1,"Tier 3: Must in 1 source",IF(COUNTIF(M153:R153,"S")&gt;0,"Tier 4: Should only",IF(COUNTIF(M153:R153,"C")&gt;0,"Tier 5: Could only",IF(I153&gt;0,"Tier 6: stated, no priority","Aurigo-only"))))))</f>
        <v>Tier 3: Must in 1 source</v>
      </c>
      <c r="M153" s="12"/>
      <c r="N153" s="12"/>
      <c r="O153" s="12" t="s">
        <v>194</v>
      </c>
      <c r="P153" s="12"/>
      <c r="Q153" s="12"/>
      <c r="R153" s="12"/>
      <c r="S153" s="8" t="s">
        <v>264</v>
      </c>
      <c r="T153" s="8"/>
      <c r="U153" s="8"/>
      <c r="V153" s="8" t="s">
        <v>197</v>
      </c>
      <c r="W153" s="8" t="s">
        <v>1009</v>
      </c>
      <c r="X153" s="8"/>
      <c r="Y153" s="8"/>
      <c r="Z153" s="7" t="s">
        <v>58</v>
      </c>
      <c r="AA153" s="8" t="s">
        <v>59</v>
      </c>
      <c r="AB153" s="9" t="n">
        <v>107</v>
      </c>
      <c r="AC153" s="8" t="s">
        <v>1010</v>
      </c>
    </row>
    <row r="154" customFormat="false" ht="24.75" hidden="false" customHeight="true" outlineLevel="0" collapsed="false">
      <c r="A154" s="12" t="s">
        <v>1011</v>
      </c>
      <c r="B154" s="8" t="s">
        <v>1004</v>
      </c>
      <c r="C154" s="8" t="s">
        <v>1005</v>
      </c>
      <c r="D154" s="8" t="s">
        <v>1012</v>
      </c>
      <c r="E154" s="8" t="s">
        <v>1013</v>
      </c>
      <c r="F154" s="8" t="s">
        <v>1014</v>
      </c>
      <c r="G154" s="8" t="s">
        <v>193</v>
      </c>
      <c r="H154" s="8" t="str">
        <f aca="false">IF(COUNTIF(M154:R154,"M")&gt;0,"Must Have",IF(COUNTIF(M154:R154,"S")&gt;0,"Should Have",IF(COUNTIF(M154:R154,"C")&gt;0,"Could Have",IF(COUNTA(M154:R154)&gt;0,"Stated – no priority","Aurigo-only (no RFP source)"))))</f>
        <v>Must Have</v>
      </c>
      <c r="I154" s="12" t="n">
        <f aca="false">COUNTA(M154:R154)</f>
        <v>1</v>
      </c>
      <c r="J154" s="12" t="n">
        <f aca="false">COUNTIF(M154:R154,"M")</f>
        <v>1</v>
      </c>
      <c r="K154" s="8" t="str">
        <f aca="false">IF(I154=0,"Aurigo-only",IF(I154=1,"Single source",IF(I154=2,"Two sources",IF(I154&lt;=4,"Common (3-4)","Broad (5+)"))))</f>
        <v>Single source</v>
      </c>
      <c r="L154" s="8" t="str">
        <f aca="false">IF(J154&gt;=3,"Tier 1: Must in 3+ sources",IF(J154=2,"Tier 2: Must in 2 sources",IF(J154=1,"Tier 3: Must in 1 source",IF(COUNTIF(M154:R154,"S")&gt;0,"Tier 4: Should only",IF(COUNTIF(M154:R154,"C")&gt;0,"Tier 5: Could only",IF(I154&gt;0,"Tier 6: stated, no priority","Aurigo-only"))))))</f>
        <v>Tier 3: Must in 1 source</v>
      </c>
      <c r="M154" s="12"/>
      <c r="N154" s="12"/>
      <c r="O154" s="12" t="s">
        <v>194</v>
      </c>
      <c r="P154" s="12"/>
      <c r="Q154" s="12"/>
      <c r="R154" s="12"/>
      <c r="S154" s="8" t="s">
        <v>264</v>
      </c>
      <c r="T154" s="8"/>
      <c r="U154" s="8"/>
      <c r="V154" s="8" t="s">
        <v>197</v>
      </c>
      <c r="W154" s="8" t="s">
        <v>1015</v>
      </c>
      <c r="X154" s="8"/>
      <c r="Y154" s="8"/>
      <c r="Z154" s="7" t="s">
        <v>58</v>
      </c>
      <c r="AA154" s="8" t="s">
        <v>59</v>
      </c>
      <c r="AB154" s="9" t="n">
        <v>108</v>
      </c>
      <c r="AC154" s="8" t="s">
        <v>1016</v>
      </c>
    </row>
    <row r="155" customFormat="false" ht="37.5" hidden="false" customHeight="true" outlineLevel="0" collapsed="false">
      <c r="A155" s="12" t="s">
        <v>1017</v>
      </c>
      <c r="B155" s="8" t="s">
        <v>1004</v>
      </c>
      <c r="C155" s="8" t="s">
        <v>1005</v>
      </c>
      <c r="D155" s="8" t="s">
        <v>1018</v>
      </c>
      <c r="E155" s="8" t="s">
        <v>1019</v>
      </c>
      <c r="F155" s="8" t="s">
        <v>1020</v>
      </c>
      <c r="G155" s="8" t="s">
        <v>193</v>
      </c>
      <c r="H155" s="8" t="str">
        <f aca="false">IF(COUNTIF(M155:R155,"M")&gt;0,"Must Have",IF(COUNTIF(M155:R155,"S")&gt;0,"Should Have",IF(COUNTIF(M155:R155,"C")&gt;0,"Could Have",IF(COUNTA(M155:R155)&gt;0,"Stated – no priority","Aurigo-only (no RFP source)"))))</f>
        <v>Must Have</v>
      </c>
      <c r="I155" s="12" t="n">
        <f aca="false">COUNTA(M155:R155)</f>
        <v>1</v>
      </c>
      <c r="J155" s="12" t="n">
        <f aca="false">COUNTIF(M155:R155,"M")</f>
        <v>1</v>
      </c>
      <c r="K155" s="8" t="str">
        <f aca="false">IF(I155=0,"Aurigo-only",IF(I155=1,"Single source",IF(I155=2,"Two sources",IF(I155&lt;=4,"Common (3-4)","Broad (5+)"))))</f>
        <v>Single source</v>
      </c>
      <c r="L155" s="8" t="str">
        <f aca="false">IF(J155&gt;=3,"Tier 1: Must in 3+ sources",IF(J155=2,"Tier 2: Must in 2 sources",IF(J155=1,"Tier 3: Must in 1 source",IF(COUNTIF(M155:R155,"S")&gt;0,"Tier 4: Should only",IF(COUNTIF(M155:R155,"C")&gt;0,"Tier 5: Could only",IF(I155&gt;0,"Tier 6: stated, no priority","Aurigo-only"))))))</f>
        <v>Tier 3: Must in 1 source</v>
      </c>
      <c r="M155" s="12"/>
      <c r="N155" s="12"/>
      <c r="O155" s="12" t="s">
        <v>194</v>
      </c>
      <c r="P155" s="12"/>
      <c r="Q155" s="12"/>
      <c r="R155" s="12"/>
      <c r="S155" s="8" t="s">
        <v>1021</v>
      </c>
      <c r="T155" s="8" t="s">
        <v>1022</v>
      </c>
      <c r="U155" s="8"/>
      <c r="V155" s="8" t="s">
        <v>197</v>
      </c>
      <c r="W155" s="8" t="s">
        <v>1023</v>
      </c>
      <c r="X155" s="8"/>
      <c r="Y155" s="8"/>
      <c r="Z155" s="7" t="s">
        <v>58</v>
      </c>
      <c r="AA155" s="8" t="s">
        <v>59</v>
      </c>
      <c r="AB155" s="9" t="n">
        <v>109</v>
      </c>
      <c r="AC155" s="8" t="s">
        <v>1024</v>
      </c>
    </row>
    <row r="156" customFormat="false" ht="24.75" hidden="false" customHeight="true" outlineLevel="0" collapsed="false">
      <c r="A156" s="12" t="s">
        <v>1025</v>
      </c>
      <c r="B156" s="8" t="s">
        <v>1004</v>
      </c>
      <c r="C156" s="8" t="s">
        <v>1005</v>
      </c>
      <c r="D156" s="8" t="s">
        <v>1026</v>
      </c>
      <c r="E156" s="8" t="s">
        <v>1027</v>
      </c>
      <c r="F156" s="8" t="s">
        <v>1028</v>
      </c>
      <c r="G156" s="8" t="s">
        <v>193</v>
      </c>
      <c r="H156" s="8" t="str">
        <f aca="false">IF(COUNTIF(M156:R156,"M")&gt;0,"Must Have",IF(COUNTIF(M156:R156,"S")&gt;0,"Should Have",IF(COUNTIF(M156:R156,"C")&gt;0,"Could Have",IF(COUNTA(M156:R156)&gt;0,"Stated – no priority","Aurigo-only (no RFP source)"))))</f>
        <v>Must Have</v>
      </c>
      <c r="I156" s="12" t="n">
        <f aca="false">COUNTA(M156:R156)</f>
        <v>1</v>
      </c>
      <c r="J156" s="12" t="n">
        <f aca="false">COUNTIF(M156:R156,"M")</f>
        <v>1</v>
      </c>
      <c r="K156" s="8" t="str">
        <f aca="false">IF(I156=0,"Aurigo-only",IF(I156=1,"Single source",IF(I156=2,"Two sources",IF(I156&lt;=4,"Common (3-4)","Broad (5+)"))))</f>
        <v>Single source</v>
      </c>
      <c r="L156" s="8" t="str">
        <f aca="false">IF(J156&gt;=3,"Tier 1: Must in 3+ sources",IF(J156=2,"Tier 2: Must in 2 sources",IF(J156=1,"Tier 3: Must in 1 source",IF(COUNTIF(M156:R156,"S")&gt;0,"Tier 4: Should only",IF(COUNTIF(M156:R156,"C")&gt;0,"Tier 5: Could only",IF(I156&gt;0,"Tier 6: stated, no priority","Aurigo-only"))))))</f>
        <v>Tier 3: Must in 1 source</v>
      </c>
      <c r="M156" s="12"/>
      <c r="N156" s="12"/>
      <c r="O156" s="12" t="s">
        <v>194</v>
      </c>
      <c r="P156" s="12"/>
      <c r="Q156" s="12"/>
      <c r="R156" s="12"/>
      <c r="S156" s="8" t="s">
        <v>264</v>
      </c>
      <c r="T156" s="8"/>
      <c r="U156" s="8"/>
      <c r="V156" s="8" t="s">
        <v>204</v>
      </c>
      <c r="W156" s="8" t="s">
        <v>205</v>
      </c>
      <c r="X156" s="8" t="s">
        <v>1029</v>
      </c>
      <c r="Y156" s="8"/>
      <c r="Z156" s="7" t="s">
        <v>61</v>
      </c>
      <c r="AA156" s="8" t="s">
        <v>62</v>
      </c>
      <c r="AB156" s="9" t="n">
        <v>121</v>
      </c>
      <c r="AC156" s="8" t="s">
        <v>1030</v>
      </c>
    </row>
    <row r="157" customFormat="false" ht="24.75" hidden="false" customHeight="true" outlineLevel="0" collapsed="false">
      <c r="A157" s="12" t="s">
        <v>1030</v>
      </c>
      <c r="B157" s="8" t="s">
        <v>1004</v>
      </c>
      <c r="C157" s="8" t="s">
        <v>1005</v>
      </c>
      <c r="D157" s="8" t="s">
        <v>1026</v>
      </c>
      <c r="E157" s="8" t="s">
        <v>1031</v>
      </c>
      <c r="F157" s="8" t="s">
        <v>1032</v>
      </c>
      <c r="G157" s="8" t="s">
        <v>403</v>
      </c>
      <c r="H157" s="8" t="str">
        <f aca="false">IF(COUNTIF(M157:R157,"M")&gt;0,"Must Have",IF(COUNTIF(M157:R157,"S")&gt;0,"Should Have",IF(COUNTIF(M157:R157,"C")&gt;0,"Could Have",IF(COUNTA(M157:R157)&gt;0,"Stated – no priority","Aurigo-only (no RFP source)"))))</f>
        <v>Aurigo-only (no RFP source)</v>
      </c>
      <c r="I157" s="12" t="n">
        <f aca="false">COUNTA(M157:R157)</f>
        <v>0</v>
      </c>
      <c r="J157" s="12" t="n">
        <f aca="false">COUNTIF(M157:R157,"M")</f>
        <v>0</v>
      </c>
      <c r="K157" s="8" t="str">
        <f aca="false">IF(I157=0,"Aurigo-only",IF(I157=1,"Single source",IF(I157=2,"Two sources",IF(I157&lt;=4,"Common (3-4)","Broad (5+)"))))</f>
        <v>Aurigo-only</v>
      </c>
      <c r="L157" s="8" t="str">
        <f aca="false">IF(J157&gt;=3,"Tier 1: Must in 3+ sources",IF(J157=2,"Tier 2: Must in 2 sources",IF(J157=1,"Tier 3: Must in 1 source",IF(COUNTIF(M157:R157,"S")&gt;0,"Tier 4: Should only",IF(COUNTIF(M157:R157,"C")&gt;0,"Tier 5: Could only",IF(I157&gt;0,"Tier 6: stated, no priority","Aurigo-only"))))))</f>
        <v>Aurigo-only</v>
      </c>
      <c r="M157" s="12"/>
      <c r="N157" s="12"/>
      <c r="O157" s="12"/>
      <c r="P157" s="12"/>
      <c r="Q157" s="12"/>
      <c r="R157" s="12"/>
      <c r="S157" s="8"/>
      <c r="T157" s="8"/>
      <c r="U157" s="8"/>
      <c r="V157" s="8" t="s">
        <v>197</v>
      </c>
      <c r="W157" s="8" t="s">
        <v>1033</v>
      </c>
      <c r="X157" s="8" t="s">
        <v>254</v>
      </c>
      <c r="Y157" s="8"/>
      <c r="Z157" s="7" t="s">
        <v>58</v>
      </c>
      <c r="AA157" s="8" t="s">
        <v>59</v>
      </c>
      <c r="AB157" s="9" t="n">
        <v>106</v>
      </c>
      <c r="AC157" s="8" t="s">
        <v>1034</v>
      </c>
    </row>
    <row r="158" customFormat="false" ht="24.75" hidden="false" customHeight="true" outlineLevel="0" collapsed="false">
      <c r="A158" s="12" t="s">
        <v>1035</v>
      </c>
      <c r="B158" s="8" t="s">
        <v>1004</v>
      </c>
      <c r="C158" s="8" t="s">
        <v>1005</v>
      </c>
      <c r="D158" s="8" t="s">
        <v>1026</v>
      </c>
      <c r="E158" s="8" t="s">
        <v>1036</v>
      </c>
      <c r="F158" s="8" t="s">
        <v>1037</v>
      </c>
      <c r="G158" s="8" t="s">
        <v>193</v>
      </c>
      <c r="H158" s="8" t="str">
        <f aca="false">IF(COUNTIF(M158:R158,"M")&gt;0,"Must Have",IF(COUNTIF(M158:R158,"S")&gt;0,"Should Have",IF(COUNTIF(M158:R158,"C")&gt;0,"Could Have",IF(COUNTA(M158:R158)&gt;0,"Stated – no priority","Aurigo-only (no RFP source)"))))</f>
        <v>Must Have</v>
      </c>
      <c r="I158" s="12" t="n">
        <f aca="false">COUNTA(M158:R158)</f>
        <v>1</v>
      </c>
      <c r="J158" s="12" t="n">
        <f aca="false">COUNTIF(M158:R158,"M")</f>
        <v>1</v>
      </c>
      <c r="K158" s="8" t="str">
        <f aca="false">IF(I158=0,"Aurigo-only",IF(I158=1,"Single source",IF(I158=2,"Two sources",IF(I158&lt;=4,"Common (3-4)","Broad (5+)"))))</f>
        <v>Single source</v>
      </c>
      <c r="L158" s="8" t="str">
        <f aca="false">IF(J158&gt;=3,"Tier 1: Must in 3+ sources",IF(J158=2,"Tier 2: Must in 2 sources",IF(J158=1,"Tier 3: Must in 1 source",IF(COUNTIF(M158:R158,"S")&gt;0,"Tier 4: Should only",IF(COUNTIF(M158:R158,"C")&gt;0,"Tier 5: Could only",IF(I158&gt;0,"Tier 6: stated, no priority","Aurigo-only"))))))</f>
        <v>Tier 3: Must in 1 source</v>
      </c>
      <c r="M158" s="12"/>
      <c r="N158" s="12"/>
      <c r="O158" s="12" t="s">
        <v>194</v>
      </c>
      <c r="P158" s="12"/>
      <c r="Q158" s="12"/>
      <c r="R158" s="12"/>
      <c r="S158" s="8" t="s">
        <v>1038</v>
      </c>
      <c r="T158" s="8"/>
      <c r="U158" s="8"/>
      <c r="V158" s="8" t="s">
        <v>227</v>
      </c>
      <c r="W158" s="8" t="s">
        <v>1039</v>
      </c>
      <c r="X158" s="8"/>
      <c r="Y158" s="8"/>
      <c r="Z158" s="7" t="s">
        <v>61</v>
      </c>
      <c r="AA158" s="8" t="s">
        <v>62</v>
      </c>
      <c r="AB158" s="9" t="n">
        <v>120</v>
      </c>
      <c r="AC158" s="8" t="s">
        <v>1040</v>
      </c>
    </row>
    <row r="159" customFormat="false" ht="24.75" hidden="false" customHeight="true" outlineLevel="0" collapsed="false">
      <c r="A159" s="12" t="s">
        <v>1041</v>
      </c>
      <c r="B159" s="8" t="s">
        <v>1004</v>
      </c>
      <c r="C159" s="8" t="s">
        <v>1005</v>
      </c>
      <c r="D159" s="8" t="s">
        <v>1042</v>
      </c>
      <c r="E159" s="8" t="s">
        <v>1043</v>
      </c>
      <c r="F159" s="8" t="s">
        <v>1044</v>
      </c>
      <c r="G159" s="8" t="s">
        <v>370</v>
      </c>
      <c r="H159" s="8" t="str">
        <f aca="false">IF(COUNTIF(M159:R159,"M")&gt;0,"Must Have",IF(COUNTIF(M159:R159,"S")&gt;0,"Should Have",IF(COUNTIF(M159:R159,"C")&gt;0,"Could Have",IF(COUNTA(M159:R159)&gt;0,"Stated – no priority","Aurigo-only (no RFP source)"))))</f>
        <v>Aurigo-only (no RFP source)</v>
      </c>
      <c r="I159" s="12" t="n">
        <f aca="false">COUNTA(M159:R159)</f>
        <v>0</v>
      </c>
      <c r="J159" s="12" t="n">
        <f aca="false">COUNTIF(M159:R159,"M")</f>
        <v>0</v>
      </c>
      <c r="K159" s="8" t="str">
        <f aca="false">IF(I159=0,"Aurigo-only",IF(I159=1,"Single source",IF(I159=2,"Two sources",IF(I159&lt;=4,"Common (3-4)","Broad (5+)"))))</f>
        <v>Aurigo-only</v>
      </c>
      <c r="L159" s="8" t="str">
        <f aca="false">IF(J159&gt;=3,"Tier 1: Must in 3+ sources",IF(J159=2,"Tier 2: Must in 2 sources",IF(J159=1,"Tier 3: Must in 1 source",IF(COUNTIF(M159:R159,"S")&gt;0,"Tier 4: Should only",IF(COUNTIF(M159:R159,"C")&gt;0,"Tier 5: Could only",IF(I159&gt;0,"Tier 6: stated, no priority","Aurigo-only"))))))</f>
        <v>Aurigo-only</v>
      </c>
      <c r="M159" s="12"/>
      <c r="N159" s="12"/>
      <c r="O159" s="12"/>
      <c r="P159" s="12"/>
      <c r="Q159" s="12"/>
      <c r="R159" s="12"/>
      <c r="S159" s="8"/>
      <c r="T159" s="8"/>
      <c r="U159" s="8"/>
      <c r="V159" s="8" t="s">
        <v>197</v>
      </c>
      <c r="W159" s="8" t="s">
        <v>1045</v>
      </c>
      <c r="X159" s="8" t="s">
        <v>254</v>
      </c>
      <c r="Y159" s="8"/>
      <c r="Z159" s="7" t="s">
        <v>61</v>
      </c>
      <c r="AA159" s="8" t="s">
        <v>62</v>
      </c>
      <c r="AB159" s="9" t="n">
        <v>122</v>
      </c>
      <c r="AC159" s="8" t="s">
        <v>1046</v>
      </c>
    </row>
    <row r="160" customFormat="false" ht="124.5" hidden="false" customHeight="true" outlineLevel="0" collapsed="false">
      <c r="A160" s="12" t="s">
        <v>417</v>
      </c>
      <c r="B160" s="8" t="s">
        <v>1047</v>
      </c>
      <c r="C160" s="8" t="s">
        <v>1048</v>
      </c>
      <c r="D160" s="8" t="s">
        <v>1049</v>
      </c>
      <c r="E160" s="8" t="s">
        <v>1050</v>
      </c>
      <c r="F160" s="8" t="s">
        <v>1051</v>
      </c>
      <c r="G160" s="8" t="s">
        <v>193</v>
      </c>
      <c r="H160" s="8" t="str">
        <f aca="false">IF(COUNTIF(M160:R160,"M")&gt;0,"Must Have",IF(COUNTIF(M160:R160,"S")&gt;0,"Should Have",IF(COUNTIF(M160:R160,"C")&gt;0,"Could Have",IF(COUNTA(M160:R160)&gt;0,"Stated – no priority","Aurigo-only (no RFP source)"))))</f>
        <v>Must Have</v>
      </c>
      <c r="I160" s="12" t="n">
        <f aca="false">COUNTA(M160:R160)</f>
        <v>4</v>
      </c>
      <c r="J160" s="12" t="n">
        <f aca="false">COUNTIF(M160:R160,"M")</f>
        <v>4</v>
      </c>
      <c r="K160" s="8" t="str">
        <f aca="false">IF(I160=0,"Aurigo-only",IF(I160=1,"Single source",IF(I160=2,"Two sources",IF(I160&lt;=4,"Common (3-4)","Broad (5+)"))))</f>
        <v>Common (3-4)</v>
      </c>
      <c r="L160" s="8" t="str">
        <f aca="false">IF(J160&gt;=3,"Tier 1: Must in 3+ sources",IF(J160=2,"Tier 2: Must in 2 sources",IF(J160=1,"Tier 3: Must in 1 source",IF(COUNTIF(M160:R160,"S")&gt;0,"Tier 4: Should only",IF(COUNTIF(M160:R160,"C")&gt;0,"Tier 5: Could only",IF(I160&gt;0,"Tier 6: stated, no priority","Aurigo-only"))))))</f>
        <v>Tier 1: Must in 3+ sources</v>
      </c>
      <c r="M160" s="12" t="s">
        <v>194</v>
      </c>
      <c r="N160" s="12"/>
      <c r="O160" s="12" t="s">
        <v>194</v>
      </c>
      <c r="P160" s="12"/>
      <c r="Q160" s="12" t="s">
        <v>194</v>
      </c>
      <c r="R160" s="12" t="s">
        <v>194</v>
      </c>
      <c r="S160" s="8" t="s">
        <v>1052</v>
      </c>
      <c r="T160" s="8"/>
      <c r="U160" s="8"/>
      <c r="V160" s="8" t="s">
        <v>214</v>
      </c>
      <c r="W160" s="8" t="s">
        <v>1053</v>
      </c>
      <c r="X160" s="8"/>
      <c r="Y160" s="8" t="s">
        <v>934</v>
      </c>
      <c r="Z160" s="7" t="s">
        <v>37</v>
      </c>
      <c r="AA160" s="8" t="s">
        <v>38</v>
      </c>
      <c r="AB160" s="9" t="n">
        <v>21</v>
      </c>
      <c r="AC160" s="8" t="s">
        <v>1054</v>
      </c>
    </row>
    <row r="161" customFormat="false" ht="24.75" hidden="false" customHeight="true" outlineLevel="0" collapsed="false">
      <c r="A161" s="12" t="s">
        <v>1055</v>
      </c>
      <c r="B161" s="8" t="s">
        <v>1047</v>
      </c>
      <c r="C161" s="8" t="s">
        <v>1048</v>
      </c>
      <c r="D161" s="8" t="s">
        <v>1049</v>
      </c>
      <c r="E161" s="8" t="s">
        <v>1056</v>
      </c>
      <c r="F161" s="8" t="s">
        <v>1057</v>
      </c>
      <c r="G161" s="8" t="s">
        <v>193</v>
      </c>
      <c r="H161" s="8" t="str">
        <f aca="false">IF(COUNTIF(M161:R161,"M")&gt;0,"Must Have",IF(COUNTIF(M161:R161,"S")&gt;0,"Should Have",IF(COUNTIF(M161:R161,"C")&gt;0,"Could Have",IF(COUNTA(M161:R161)&gt;0,"Stated – no priority","Aurigo-only (no RFP source)"))))</f>
        <v>Must Have</v>
      </c>
      <c r="I161" s="12" t="n">
        <f aca="false">COUNTA(M161:R161)</f>
        <v>1</v>
      </c>
      <c r="J161" s="12" t="n">
        <f aca="false">COUNTIF(M161:R161,"M")</f>
        <v>1</v>
      </c>
      <c r="K161" s="8" t="str">
        <f aca="false">IF(I161=0,"Aurigo-only",IF(I161=1,"Single source",IF(I161=2,"Two sources",IF(I161&lt;=4,"Common (3-4)","Broad (5+)"))))</f>
        <v>Single source</v>
      </c>
      <c r="L161" s="8" t="str">
        <f aca="false">IF(J161&gt;=3,"Tier 1: Must in 3+ sources",IF(J161=2,"Tier 2: Must in 2 sources",IF(J161=1,"Tier 3: Must in 1 source",IF(COUNTIF(M161:R161,"S")&gt;0,"Tier 4: Should only",IF(COUNTIF(M161:R161,"C")&gt;0,"Tier 5: Could only",IF(I161&gt;0,"Tier 6: stated, no priority","Aurigo-only"))))))</f>
        <v>Tier 3: Must in 1 source</v>
      </c>
      <c r="M161" s="12" t="s">
        <v>194</v>
      </c>
      <c r="N161" s="12"/>
      <c r="O161" s="12"/>
      <c r="P161" s="12"/>
      <c r="Q161" s="12"/>
      <c r="R161" s="12"/>
      <c r="S161" s="8" t="s">
        <v>1058</v>
      </c>
      <c r="T161" s="8"/>
      <c r="U161" s="8"/>
      <c r="V161" s="8" t="s">
        <v>204</v>
      </c>
      <c r="W161" s="8" t="s">
        <v>205</v>
      </c>
      <c r="X161" s="8"/>
      <c r="Y161" s="8"/>
      <c r="Z161" s="7" t="s">
        <v>52</v>
      </c>
      <c r="AA161" s="8" t="s">
        <v>53</v>
      </c>
      <c r="AB161" s="9" t="n">
        <v>69</v>
      </c>
      <c r="AC161" s="8" t="s">
        <v>417</v>
      </c>
    </row>
    <row r="162" customFormat="false" ht="49.5" hidden="false" customHeight="true" outlineLevel="0" collapsed="false">
      <c r="A162" s="12" t="s">
        <v>1059</v>
      </c>
      <c r="B162" s="8" t="s">
        <v>1047</v>
      </c>
      <c r="C162" s="8" t="s">
        <v>1048</v>
      </c>
      <c r="D162" s="8" t="s">
        <v>1049</v>
      </c>
      <c r="E162" s="8" t="s">
        <v>1060</v>
      </c>
      <c r="F162" s="8" t="s">
        <v>1061</v>
      </c>
      <c r="G162" s="8" t="s">
        <v>193</v>
      </c>
      <c r="H162" s="8" t="str">
        <f aca="false">IF(COUNTIF(M162:R162,"M")&gt;0,"Must Have",IF(COUNTIF(M162:R162,"S")&gt;0,"Should Have",IF(COUNTIF(M162:R162,"C")&gt;0,"Could Have",IF(COUNTA(M162:R162)&gt;0,"Stated – no priority","Aurigo-only (no RFP source)"))))</f>
        <v>Must Have</v>
      </c>
      <c r="I162" s="12" t="n">
        <f aca="false">COUNTA(M162:R162)</f>
        <v>2</v>
      </c>
      <c r="J162" s="12" t="n">
        <f aca="false">COUNTIF(M162:R162,"M")</f>
        <v>2</v>
      </c>
      <c r="K162" s="8" t="str">
        <f aca="false">IF(I162=0,"Aurigo-only",IF(I162=1,"Single source",IF(I162=2,"Two sources",IF(I162&lt;=4,"Common (3-4)","Broad (5+)"))))</f>
        <v>Two sources</v>
      </c>
      <c r="L162" s="8" t="str">
        <f aca="false">IF(J162&gt;=3,"Tier 1: Must in 3+ sources",IF(J162=2,"Tier 2: Must in 2 sources",IF(J162=1,"Tier 3: Must in 1 source",IF(COUNTIF(M162:R162,"S")&gt;0,"Tier 4: Should only",IF(COUNTIF(M162:R162,"C")&gt;0,"Tier 5: Could only",IF(I162&gt;0,"Tier 6: stated, no priority","Aurigo-only"))))))</f>
        <v>Tier 2: Must in 2 sources</v>
      </c>
      <c r="M162" s="12" t="s">
        <v>194</v>
      </c>
      <c r="N162" s="12"/>
      <c r="O162" s="12"/>
      <c r="P162" s="12"/>
      <c r="Q162" s="12"/>
      <c r="R162" s="12" t="s">
        <v>194</v>
      </c>
      <c r="S162" s="8" t="s">
        <v>1062</v>
      </c>
      <c r="T162" s="8"/>
      <c r="U162" s="8"/>
      <c r="V162" s="8" t="s">
        <v>204</v>
      </c>
      <c r="W162" s="8" t="s">
        <v>205</v>
      </c>
      <c r="X162" s="8"/>
      <c r="Y162" s="8"/>
      <c r="Z162" s="7" t="s">
        <v>80</v>
      </c>
      <c r="AA162" s="8" t="s">
        <v>81</v>
      </c>
      <c r="AB162" s="9" t="n">
        <v>184</v>
      </c>
      <c r="AC162" s="8" t="s">
        <v>1063</v>
      </c>
    </row>
    <row r="163" customFormat="false" ht="62.25" hidden="false" customHeight="true" outlineLevel="0" collapsed="false">
      <c r="A163" s="12" t="s">
        <v>1064</v>
      </c>
      <c r="B163" s="8" t="s">
        <v>1047</v>
      </c>
      <c r="C163" s="8" t="s">
        <v>1048</v>
      </c>
      <c r="D163" s="8" t="s">
        <v>1065</v>
      </c>
      <c r="E163" s="8" t="s">
        <v>1066</v>
      </c>
      <c r="F163" s="8" t="s">
        <v>1067</v>
      </c>
      <c r="G163" s="8" t="s">
        <v>193</v>
      </c>
      <c r="H163" s="8" t="str">
        <f aca="false">IF(COUNTIF(M163:R163,"M")&gt;0,"Must Have",IF(COUNTIF(M163:R163,"S")&gt;0,"Should Have",IF(COUNTIF(M163:R163,"C")&gt;0,"Could Have",IF(COUNTA(M163:R163)&gt;0,"Stated – no priority","Aurigo-only (no RFP source)"))))</f>
        <v>Must Have</v>
      </c>
      <c r="I163" s="12" t="n">
        <f aca="false">COUNTA(M163:R163)</f>
        <v>2</v>
      </c>
      <c r="J163" s="12" t="n">
        <f aca="false">COUNTIF(M163:R163,"M")</f>
        <v>2</v>
      </c>
      <c r="K163" s="8" t="str">
        <f aca="false">IF(I163=0,"Aurigo-only",IF(I163=1,"Single source",IF(I163=2,"Two sources",IF(I163&lt;=4,"Common (3-4)","Broad (5+)"))))</f>
        <v>Two sources</v>
      </c>
      <c r="L163" s="8" t="str">
        <f aca="false">IF(J163&gt;=3,"Tier 1: Must in 3+ sources",IF(J163=2,"Tier 2: Must in 2 sources",IF(J163=1,"Tier 3: Must in 1 source",IF(COUNTIF(M163:R163,"S")&gt;0,"Tier 4: Should only",IF(COUNTIF(M163:R163,"C")&gt;0,"Tier 5: Could only",IF(I163&gt;0,"Tier 6: stated, no priority","Aurigo-only"))))))</f>
        <v>Tier 2: Must in 2 sources</v>
      </c>
      <c r="M163" s="12" t="s">
        <v>194</v>
      </c>
      <c r="N163" s="12"/>
      <c r="O163" s="12"/>
      <c r="P163" s="12"/>
      <c r="Q163" s="12"/>
      <c r="R163" s="12" t="s">
        <v>194</v>
      </c>
      <c r="S163" s="8" t="s">
        <v>1068</v>
      </c>
      <c r="T163" s="8"/>
      <c r="U163" s="8"/>
      <c r="V163" s="8" t="s">
        <v>204</v>
      </c>
      <c r="W163" s="8" t="s">
        <v>205</v>
      </c>
      <c r="X163" s="8"/>
      <c r="Y163" s="8"/>
      <c r="Z163" s="7" t="s">
        <v>52</v>
      </c>
      <c r="AA163" s="8" t="s">
        <v>53</v>
      </c>
      <c r="AB163" s="9" t="n">
        <v>68</v>
      </c>
      <c r="AC163" s="8" t="s">
        <v>417</v>
      </c>
    </row>
    <row r="164" customFormat="false" ht="49.5" hidden="false" customHeight="true" outlineLevel="0" collapsed="false">
      <c r="A164" s="12" t="s">
        <v>1069</v>
      </c>
      <c r="B164" s="8" t="s">
        <v>1047</v>
      </c>
      <c r="C164" s="8" t="s">
        <v>1048</v>
      </c>
      <c r="D164" s="8" t="s">
        <v>397</v>
      </c>
      <c r="E164" s="8" t="s">
        <v>1070</v>
      </c>
      <c r="F164" s="8" t="s">
        <v>1071</v>
      </c>
      <c r="G164" s="8" t="s">
        <v>397</v>
      </c>
      <c r="H164" s="8" t="str">
        <f aca="false">IF(COUNTIF(M164:R164,"M")&gt;0,"Must Have",IF(COUNTIF(M164:R164,"S")&gt;0,"Should Have",IF(COUNTIF(M164:R164,"C")&gt;0,"Could Have",IF(COUNTA(M164:R164)&gt;0,"Stated – no priority","Aurigo-only (no RFP source)"))))</f>
        <v>Must Have</v>
      </c>
      <c r="I164" s="12" t="n">
        <f aca="false">COUNTA(M164:R164)</f>
        <v>2</v>
      </c>
      <c r="J164" s="12" t="n">
        <f aca="false">COUNTIF(M164:R164,"M")</f>
        <v>2</v>
      </c>
      <c r="K164" s="8" t="str">
        <f aca="false">IF(I164=0,"Aurigo-only",IF(I164=1,"Single source",IF(I164=2,"Two sources",IF(I164&lt;=4,"Common (3-4)","Broad (5+)"))))</f>
        <v>Two sources</v>
      </c>
      <c r="L164" s="8" t="str">
        <f aca="false">IF(J164&gt;=3,"Tier 1: Must in 3+ sources",IF(J164=2,"Tier 2: Must in 2 sources",IF(J164=1,"Tier 3: Must in 1 source",IF(COUNTIF(M164:R164,"S")&gt;0,"Tier 4: Should only",IF(COUNTIF(M164:R164,"C")&gt;0,"Tier 5: Could only",IF(I164&gt;0,"Tier 6: stated, no priority","Aurigo-only"))))))</f>
        <v>Tier 2: Must in 2 sources</v>
      </c>
      <c r="M164" s="12"/>
      <c r="N164" s="12" t="s">
        <v>194</v>
      </c>
      <c r="O164" s="12"/>
      <c r="P164" s="12"/>
      <c r="Q164" s="12" t="s">
        <v>194</v>
      </c>
      <c r="R164" s="12"/>
      <c r="S164" s="8" t="s">
        <v>1072</v>
      </c>
      <c r="T164" s="8"/>
      <c r="U164" s="8" t="s">
        <v>1073</v>
      </c>
      <c r="V164" s="8" t="s">
        <v>204</v>
      </c>
      <c r="W164" s="8" t="s">
        <v>205</v>
      </c>
      <c r="X164" s="8"/>
      <c r="Y164" s="8"/>
      <c r="Z164" s="7" t="s">
        <v>135</v>
      </c>
      <c r="AA164" s="8" t="s">
        <v>136</v>
      </c>
      <c r="AB164" s="9" t="n">
        <v>313</v>
      </c>
      <c r="AC164" s="8" t="s">
        <v>417</v>
      </c>
    </row>
    <row r="165" customFormat="false" ht="24.75" hidden="false" customHeight="true" outlineLevel="0" collapsed="false">
      <c r="A165" s="12" t="s">
        <v>1074</v>
      </c>
      <c r="B165" s="8" t="s">
        <v>1047</v>
      </c>
      <c r="C165" s="8" t="s">
        <v>1048</v>
      </c>
      <c r="D165" s="8" t="s">
        <v>1049</v>
      </c>
      <c r="E165" s="8" t="s">
        <v>1075</v>
      </c>
      <c r="F165" s="8" t="s">
        <v>1076</v>
      </c>
      <c r="G165" s="8" t="s">
        <v>193</v>
      </c>
      <c r="H165" s="8" t="str">
        <f aca="false">IF(COUNTIF(M165:R165,"M")&gt;0,"Must Have",IF(COUNTIF(M165:R165,"S")&gt;0,"Should Have",IF(COUNTIF(M165:R165,"C")&gt;0,"Could Have",IF(COUNTA(M165:R165)&gt;0,"Stated – no priority","Aurigo-only (no RFP source)"))))</f>
        <v>Must Have</v>
      </c>
      <c r="I165" s="12" t="n">
        <f aca="false">COUNTA(M165:R165)</f>
        <v>1</v>
      </c>
      <c r="J165" s="12" t="n">
        <f aca="false">COUNTIF(M165:R165,"M")</f>
        <v>1</v>
      </c>
      <c r="K165" s="8" t="str">
        <f aca="false">IF(I165=0,"Aurigo-only",IF(I165=1,"Single source",IF(I165=2,"Two sources",IF(I165&lt;=4,"Common (3-4)","Broad (5+)"))))</f>
        <v>Single source</v>
      </c>
      <c r="L165" s="8" t="str">
        <f aca="false">IF(J165&gt;=3,"Tier 1: Must in 3+ sources",IF(J165=2,"Tier 2: Must in 2 sources",IF(J165=1,"Tier 3: Must in 1 source",IF(COUNTIF(M165:R165,"S")&gt;0,"Tier 4: Should only",IF(COUNTIF(M165:R165,"C")&gt;0,"Tier 5: Could only",IF(I165&gt;0,"Tier 6: stated, no priority","Aurigo-only"))))))</f>
        <v>Tier 3: Must in 1 source</v>
      </c>
      <c r="M165" s="12"/>
      <c r="N165" s="12" t="s">
        <v>194</v>
      </c>
      <c r="O165" s="12"/>
      <c r="P165" s="12"/>
      <c r="Q165" s="12"/>
      <c r="R165" s="12"/>
      <c r="S165" s="8" t="s">
        <v>1077</v>
      </c>
      <c r="T165" s="8"/>
      <c r="U165" s="8"/>
      <c r="V165" s="8" t="s">
        <v>204</v>
      </c>
      <c r="W165" s="8" t="s">
        <v>205</v>
      </c>
      <c r="X165" s="8"/>
      <c r="Y165" s="8"/>
      <c r="Z165" s="7" t="s">
        <v>114</v>
      </c>
      <c r="AA165" s="8" t="s">
        <v>115</v>
      </c>
      <c r="AB165" s="9" t="n">
        <v>266</v>
      </c>
      <c r="AC165" s="8" t="s">
        <v>417</v>
      </c>
    </row>
    <row r="166" customFormat="false" ht="24.75" hidden="false" customHeight="true" outlineLevel="0" collapsed="false">
      <c r="A166" s="12" t="s">
        <v>1078</v>
      </c>
      <c r="B166" s="8" t="s">
        <v>1047</v>
      </c>
      <c r="C166" s="8" t="s">
        <v>1048</v>
      </c>
      <c r="D166" s="8" t="s">
        <v>1065</v>
      </c>
      <c r="E166" s="8" t="s">
        <v>1079</v>
      </c>
      <c r="F166" s="8" t="s">
        <v>1080</v>
      </c>
      <c r="G166" s="8" t="s">
        <v>193</v>
      </c>
      <c r="H166" s="8" t="str">
        <f aca="false">IF(COUNTIF(M166:R166,"M")&gt;0,"Must Have",IF(COUNTIF(M166:R166,"S")&gt;0,"Should Have",IF(COUNTIF(M166:R166,"C")&gt;0,"Could Have",IF(COUNTA(M166:R166)&gt;0,"Stated – no priority","Aurigo-only (no RFP source)"))))</f>
        <v>Must Have</v>
      </c>
      <c r="I166" s="12" t="n">
        <f aca="false">COUNTA(M166:R166)</f>
        <v>1</v>
      </c>
      <c r="J166" s="12" t="n">
        <f aca="false">COUNTIF(M166:R166,"M")</f>
        <v>1</v>
      </c>
      <c r="K166" s="8" t="str">
        <f aca="false">IF(I166=0,"Aurigo-only",IF(I166=1,"Single source",IF(I166=2,"Two sources",IF(I166&lt;=4,"Common (3-4)","Broad (5+)"))))</f>
        <v>Single source</v>
      </c>
      <c r="L166" s="8" t="str">
        <f aca="false">IF(J166&gt;=3,"Tier 1: Must in 3+ sources",IF(J166=2,"Tier 2: Must in 2 sources",IF(J166=1,"Tier 3: Must in 1 source",IF(COUNTIF(M166:R166,"S")&gt;0,"Tier 4: Should only",IF(COUNTIF(M166:R166,"C")&gt;0,"Tier 5: Could only",IF(I166&gt;0,"Tier 6: stated, no priority","Aurigo-only"))))))</f>
        <v>Tier 3: Must in 1 source</v>
      </c>
      <c r="M166" s="12" t="s">
        <v>194</v>
      </c>
      <c r="N166" s="12"/>
      <c r="O166" s="12"/>
      <c r="P166" s="12"/>
      <c r="Q166" s="12"/>
      <c r="R166" s="12"/>
      <c r="S166" s="8" t="s">
        <v>1081</v>
      </c>
      <c r="T166" s="8"/>
      <c r="U166" s="8"/>
      <c r="V166" s="8" t="s">
        <v>204</v>
      </c>
      <c r="W166" s="8" t="s">
        <v>205</v>
      </c>
      <c r="X166" s="8"/>
      <c r="Y166" s="8"/>
      <c r="Z166" s="7" t="s">
        <v>52</v>
      </c>
      <c r="AA166" s="8" t="s">
        <v>53</v>
      </c>
      <c r="AB166" s="9" t="n">
        <v>80</v>
      </c>
      <c r="AC166" s="8" t="s">
        <v>1082</v>
      </c>
    </row>
    <row r="167" customFormat="false" ht="75" hidden="false" customHeight="true" outlineLevel="0" collapsed="false">
      <c r="A167" s="12" t="s">
        <v>1083</v>
      </c>
      <c r="B167" s="8" t="s">
        <v>1047</v>
      </c>
      <c r="C167" s="8" t="s">
        <v>1048</v>
      </c>
      <c r="D167" s="8" t="s">
        <v>1049</v>
      </c>
      <c r="E167" s="8" t="s">
        <v>1084</v>
      </c>
      <c r="F167" s="8" t="s">
        <v>1085</v>
      </c>
      <c r="G167" s="8" t="s">
        <v>193</v>
      </c>
      <c r="H167" s="8" t="str">
        <f aca="false">IF(COUNTIF(M167:R167,"M")&gt;0,"Must Have",IF(COUNTIF(M167:R167,"S")&gt;0,"Should Have",IF(COUNTIF(M167:R167,"C")&gt;0,"Could Have",IF(COUNTA(M167:R167)&gt;0,"Stated – no priority","Aurigo-only (no RFP source)"))))</f>
        <v>Must Have</v>
      </c>
      <c r="I167" s="12" t="n">
        <f aca="false">COUNTA(M167:R167)</f>
        <v>3</v>
      </c>
      <c r="J167" s="12" t="n">
        <f aca="false">COUNTIF(M167:R167,"M")</f>
        <v>3</v>
      </c>
      <c r="K167" s="8" t="str">
        <f aca="false">IF(I167=0,"Aurigo-only",IF(I167=1,"Single source",IF(I167=2,"Two sources",IF(I167&lt;=4,"Common (3-4)","Broad (5+)"))))</f>
        <v>Common (3-4)</v>
      </c>
      <c r="L167" s="8" t="str">
        <f aca="false">IF(J167&gt;=3,"Tier 1: Must in 3+ sources",IF(J167=2,"Tier 2: Must in 2 sources",IF(J167=1,"Tier 3: Must in 1 source",IF(COUNTIF(M167:R167,"S")&gt;0,"Tier 4: Should only",IF(COUNTIF(M167:R167,"C")&gt;0,"Tier 5: Could only",IF(I167&gt;0,"Tier 6: stated, no priority","Aurigo-only"))))))</f>
        <v>Tier 1: Must in 3+ sources</v>
      </c>
      <c r="M167" s="12" t="s">
        <v>194</v>
      </c>
      <c r="N167" s="12" t="s">
        <v>194</v>
      </c>
      <c r="O167" s="12"/>
      <c r="P167" s="12"/>
      <c r="Q167" s="12"/>
      <c r="R167" s="12" t="s">
        <v>194</v>
      </c>
      <c r="S167" s="8" t="s">
        <v>1086</v>
      </c>
      <c r="T167" s="8"/>
      <c r="U167" s="8"/>
      <c r="V167" s="8" t="s">
        <v>204</v>
      </c>
      <c r="W167" s="8" t="s">
        <v>205</v>
      </c>
      <c r="X167" s="8"/>
      <c r="Y167" s="8"/>
      <c r="Z167" s="7" t="s">
        <v>77</v>
      </c>
      <c r="AA167" s="8" t="s">
        <v>78</v>
      </c>
      <c r="AB167" s="9" t="n">
        <v>172</v>
      </c>
      <c r="AC167" s="8" t="s">
        <v>1063</v>
      </c>
    </row>
    <row r="168" customFormat="false" ht="87" hidden="false" customHeight="true" outlineLevel="0" collapsed="false">
      <c r="A168" s="12" t="s">
        <v>573</v>
      </c>
      <c r="B168" s="8" t="s">
        <v>1047</v>
      </c>
      <c r="C168" s="8" t="s">
        <v>1087</v>
      </c>
      <c r="D168" s="8" t="s">
        <v>568</v>
      </c>
      <c r="E168" s="8" t="s">
        <v>1088</v>
      </c>
      <c r="F168" s="8" t="s">
        <v>1089</v>
      </c>
      <c r="G168" s="8" t="s">
        <v>193</v>
      </c>
      <c r="H168" s="8" t="str">
        <f aca="false">IF(COUNTIF(M168:R168,"M")&gt;0,"Must Have",IF(COUNTIF(M168:R168,"S")&gt;0,"Should Have",IF(COUNTIF(M168:R168,"C")&gt;0,"Could Have",IF(COUNTA(M168:R168)&gt;0,"Stated – no priority","Aurigo-only (no RFP source)"))))</f>
        <v>Must Have</v>
      </c>
      <c r="I168" s="12" t="n">
        <f aca="false">COUNTA(M168:R168)</f>
        <v>4</v>
      </c>
      <c r="J168" s="12" t="n">
        <f aca="false">COUNTIF(M168:R168,"M")</f>
        <v>3</v>
      </c>
      <c r="K168" s="8" t="str">
        <f aca="false">IF(I168=0,"Aurigo-only",IF(I168=1,"Single source",IF(I168=2,"Two sources",IF(I168&lt;=4,"Common (3-4)","Broad (5+)"))))</f>
        <v>Common (3-4)</v>
      </c>
      <c r="L168" s="8" t="str">
        <f aca="false">IF(J168&gt;=3,"Tier 1: Must in 3+ sources",IF(J168=2,"Tier 2: Must in 2 sources",IF(J168=1,"Tier 3: Must in 1 source",IF(COUNTIF(M168:R168,"S")&gt;0,"Tier 4: Should only",IF(COUNTIF(M168:R168,"C")&gt;0,"Tier 5: Could only",IF(I168&gt;0,"Tier 6: stated, no priority","Aurigo-only"))))))</f>
        <v>Tier 1: Must in 3+ sources</v>
      </c>
      <c r="M168" s="12" t="s">
        <v>194</v>
      </c>
      <c r="N168" s="12"/>
      <c r="O168" s="12" t="s">
        <v>194</v>
      </c>
      <c r="P168" s="12" t="s">
        <v>195</v>
      </c>
      <c r="Q168" s="12"/>
      <c r="R168" s="12" t="s">
        <v>194</v>
      </c>
      <c r="S168" s="8" t="s">
        <v>1090</v>
      </c>
      <c r="T168" s="8"/>
      <c r="U168" s="8"/>
      <c r="V168" s="8" t="s">
        <v>197</v>
      </c>
      <c r="W168" s="8" t="s">
        <v>1091</v>
      </c>
      <c r="X168" s="8"/>
      <c r="Y168" s="8" t="s">
        <v>934</v>
      </c>
      <c r="Z168" s="7" t="s">
        <v>37</v>
      </c>
      <c r="AA168" s="8" t="s">
        <v>38</v>
      </c>
      <c r="AB168" s="9" t="n">
        <v>22</v>
      </c>
      <c r="AC168" s="8" t="s">
        <v>1092</v>
      </c>
    </row>
    <row r="169" customFormat="false" ht="75" hidden="false" customHeight="true" outlineLevel="0" collapsed="false">
      <c r="A169" s="12" t="s">
        <v>1093</v>
      </c>
      <c r="B169" s="8" t="s">
        <v>1047</v>
      </c>
      <c r="C169" s="8" t="s">
        <v>1087</v>
      </c>
      <c r="D169" s="8" t="s">
        <v>1094</v>
      </c>
      <c r="E169" s="8" t="s">
        <v>1095</v>
      </c>
      <c r="F169" s="8" t="s">
        <v>1096</v>
      </c>
      <c r="G169" s="8" t="s">
        <v>193</v>
      </c>
      <c r="H169" s="8" t="str">
        <f aca="false">IF(COUNTIF(M169:R169,"M")&gt;0,"Must Have",IF(COUNTIF(M169:R169,"S")&gt;0,"Should Have",IF(COUNTIF(M169:R169,"C")&gt;0,"Could Have",IF(COUNTA(M169:R169)&gt;0,"Stated – no priority","Aurigo-only (no RFP source)"))))</f>
        <v>Must Have</v>
      </c>
      <c r="I169" s="12" t="n">
        <f aca="false">COUNTA(M169:R169)</f>
        <v>3</v>
      </c>
      <c r="J169" s="12" t="n">
        <f aca="false">COUNTIF(M169:R169,"M")</f>
        <v>3</v>
      </c>
      <c r="K169" s="8" t="str">
        <f aca="false">IF(I169=0,"Aurigo-only",IF(I169=1,"Single source",IF(I169=2,"Two sources",IF(I169&lt;=4,"Common (3-4)","Broad (5+)"))))</f>
        <v>Common (3-4)</v>
      </c>
      <c r="L169" s="8" t="str">
        <f aca="false">IF(J169&gt;=3,"Tier 1: Must in 3+ sources",IF(J169=2,"Tier 2: Must in 2 sources",IF(J169=1,"Tier 3: Must in 1 source",IF(COUNTIF(M169:R169,"S")&gt;0,"Tier 4: Should only",IF(COUNTIF(M169:R169,"C")&gt;0,"Tier 5: Could only",IF(I169&gt;0,"Tier 6: stated, no priority","Aurigo-only"))))))</f>
        <v>Tier 1: Must in 3+ sources</v>
      </c>
      <c r="M169" s="12" t="s">
        <v>194</v>
      </c>
      <c r="N169" s="12" t="s">
        <v>194</v>
      </c>
      <c r="O169" s="12" t="s">
        <v>194</v>
      </c>
      <c r="P169" s="12"/>
      <c r="Q169" s="12"/>
      <c r="R169" s="12"/>
      <c r="S169" s="8" t="s">
        <v>1097</v>
      </c>
      <c r="T169" s="8"/>
      <c r="U169" s="8"/>
      <c r="V169" s="8" t="s">
        <v>204</v>
      </c>
      <c r="W169" s="8" t="s">
        <v>205</v>
      </c>
      <c r="X169" s="8"/>
      <c r="Y169" s="8"/>
      <c r="Z169" s="7" t="s">
        <v>37</v>
      </c>
      <c r="AA169" s="8" t="s">
        <v>38</v>
      </c>
      <c r="AB169" s="9" t="n">
        <v>24</v>
      </c>
      <c r="AC169" s="8" t="s">
        <v>573</v>
      </c>
    </row>
    <row r="170" customFormat="false" ht="37.5" hidden="false" customHeight="true" outlineLevel="0" collapsed="false">
      <c r="A170" s="12" t="s">
        <v>1098</v>
      </c>
      <c r="B170" s="8" t="s">
        <v>1047</v>
      </c>
      <c r="C170" s="8" t="s">
        <v>1087</v>
      </c>
      <c r="D170" s="8" t="s">
        <v>1094</v>
      </c>
      <c r="E170" s="8" t="s">
        <v>1099</v>
      </c>
      <c r="F170" s="8" t="s">
        <v>1100</v>
      </c>
      <c r="G170" s="8" t="s">
        <v>193</v>
      </c>
      <c r="H170" s="8" t="str">
        <f aca="false">IF(COUNTIF(M170:R170,"M")&gt;0,"Must Have",IF(COUNTIF(M170:R170,"S")&gt;0,"Should Have",IF(COUNTIF(M170:R170,"C")&gt;0,"Could Have",IF(COUNTA(M170:R170)&gt;0,"Stated – no priority","Aurigo-only (no RFP source)"))))</f>
        <v>Must Have</v>
      </c>
      <c r="I170" s="12" t="n">
        <f aca="false">COUNTA(M170:R170)</f>
        <v>1</v>
      </c>
      <c r="J170" s="12" t="n">
        <f aca="false">COUNTIF(M170:R170,"M")</f>
        <v>1</v>
      </c>
      <c r="K170" s="8" t="str">
        <f aca="false">IF(I170=0,"Aurigo-only",IF(I170=1,"Single source",IF(I170=2,"Two sources",IF(I170&lt;=4,"Common (3-4)","Broad (5+)"))))</f>
        <v>Single source</v>
      </c>
      <c r="L170" s="8" t="str">
        <f aca="false">IF(J170&gt;=3,"Tier 1: Must in 3+ sources",IF(J170=2,"Tier 2: Must in 2 sources",IF(J170=1,"Tier 3: Must in 1 source",IF(COUNTIF(M170:R170,"S")&gt;0,"Tier 4: Should only",IF(COUNTIF(M170:R170,"C")&gt;0,"Tier 5: Could only",IF(I170&gt;0,"Tier 6: stated, no priority","Aurigo-only"))))))</f>
        <v>Tier 3: Must in 1 source</v>
      </c>
      <c r="M170" s="12" t="s">
        <v>194</v>
      </c>
      <c r="N170" s="12"/>
      <c r="O170" s="12"/>
      <c r="P170" s="12"/>
      <c r="Q170" s="12"/>
      <c r="R170" s="12"/>
      <c r="S170" s="8" t="s">
        <v>1101</v>
      </c>
      <c r="T170" s="8"/>
      <c r="U170" s="8"/>
      <c r="V170" s="8" t="s">
        <v>227</v>
      </c>
      <c r="W170" s="8" t="s">
        <v>1102</v>
      </c>
      <c r="X170" s="8"/>
      <c r="Y170" s="8"/>
      <c r="Z170" s="7" t="s">
        <v>49</v>
      </c>
      <c r="AA170" s="8" t="s">
        <v>50</v>
      </c>
      <c r="AB170" s="9" t="n">
        <v>63</v>
      </c>
      <c r="AC170" s="8" t="s">
        <v>1103</v>
      </c>
    </row>
    <row r="171" customFormat="false" ht="24.75" hidden="false" customHeight="true" outlineLevel="0" collapsed="false">
      <c r="A171" s="12" t="s">
        <v>1104</v>
      </c>
      <c r="B171" s="8" t="s">
        <v>1047</v>
      </c>
      <c r="C171" s="8" t="s">
        <v>1087</v>
      </c>
      <c r="D171" s="8" t="s">
        <v>1094</v>
      </c>
      <c r="E171" s="8" t="s">
        <v>1105</v>
      </c>
      <c r="F171" s="8" t="s">
        <v>1106</v>
      </c>
      <c r="G171" s="8" t="s">
        <v>193</v>
      </c>
      <c r="H171" s="8" t="str">
        <f aca="false">IF(COUNTIF(M171:R171,"M")&gt;0,"Must Have",IF(COUNTIF(M171:R171,"S")&gt;0,"Should Have",IF(COUNTIF(M171:R171,"C")&gt;0,"Could Have",IF(COUNTA(M171:R171)&gt;0,"Stated – no priority","Aurigo-only (no RFP source)"))))</f>
        <v>Must Have</v>
      </c>
      <c r="I171" s="12" t="n">
        <f aca="false">COUNTA(M171:R171)</f>
        <v>1</v>
      </c>
      <c r="J171" s="12" t="n">
        <f aca="false">COUNTIF(M171:R171,"M")</f>
        <v>1</v>
      </c>
      <c r="K171" s="8" t="str">
        <f aca="false">IF(I171=0,"Aurigo-only",IF(I171=1,"Single source",IF(I171=2,"Two sources",IF(I171&lt;=4,"Common (3-4)","Broad (5+)"))))</f>
        <v>Single source</v>
      </c>
      <c r="L171" s="8" t="str">
        <f aca="false">IF(J171&gt;=3,"Tier 1: Must in 3+ sources",IF(J171=2,"Tier 2: Must in 2 sources",IF(J171=1,"Tier 3: Must in 1 source",IF(COUNTIF(M171:R171,"S")&gt;0,"Tier 4: Should only",IF(COUNTIF(M171:R171,"C")&gt;0,"Tier 5: Could only",IF(I171&gt;0,"Tier 6: stated, no priority","Aurigo-only"))))))</f>
        <v>Tier 3: Must in 1 source</v>
      </c>
      <c r="M171" s="12" t="s">
        <v>194</v>
      </c>
      <c r="N171" s="12"/>
      <c r="O171" s="12"/>
      <c r="P171" s="12"/>
      <c r="Q171" s="12"/>
      <c r="R171" s="12"/>
      <c r="S171" s="8" t="s">
        <v>1107</v>
      </c>
      <c r="T171" s="8"/>
      <c r="U171" s="8"/>
      <c r="V171" s="8" t="s">
        <v>204</v>
      </c>
      <c r="W171" s="8" t="s">
        <v>205</v>
      </c>
      <c r="X171" s="8"/>
      <c r="Y171" s="8"/>
      <c r="Z171" s="7" t="s">
        <v>49</v>
      </c>
      <c r="AA171" s="8" t="s">
        <v>50</v>
      </c>
      <c r="AB171" s="9" t="n">
        <v>64</v>
      </c>
      <c r="AC171" s="8" t="s">
        <v>1108</v>
      </c>
    </row>
    <row r="172" customFormat="false" ht="24.75" hidden="false" customHeight="true" outlineLevel="0" collapsed="false">
      <c r="A172" s="12" t="s">
        <v>1109</v>
      </c>
      <c r="B172" s="8" t="s">
        <v>1047</v>
      </c>
      <c r="C172" s="8" t="s">
        <v>1087</v>
      </c>
      <c r="D172" s="8" t="s">
        <v>1094</v>
      </c>
      <c r="E172" s="8" t="s">
        <v>1110</v>
      </c>
      <c r="F172" s="8" t="s">
        <v>1111</v>
      </c>
      <c r="G172" s="8" t="s">
        <v>193</v>
      </c>
      <c r="H172" s="8" t="str">
        <f aca="false">IF(COUNTIF(M172:R172,"M")&gt;0,"Must Have",IF(COUNTIF(M172:R172,"S")&gt;0,"Should Have",IF(COUNTIF(M172:R172,"C")&gt;0,"Could Have",IF(COUNTA(M172:R172)&gt;0,"Stated – no priority","Aurigo-only (no RFP source)"))))</f>
        <v>Must Have</v>
      </c>
      <c r="I172" s="12" t="n">
        <f aca="false">COUNTA(M172:R172)</f>
        <v>1</v>
      </c>
      <c r="J172" s="12" t="n">
        <f aca="false">COUNTIF(M172:R172,"M")</f>
        <v>1</v>
      </c>
      <c r="K172" s="8" t="str">
        <f aca="false">IF(I172=0,"Aurigo-only",IF(I172=1,"Single source",IF(I172=2,"Two sources",IF(I172&lt;=4,"Common (3-4)","Broad (5+)"))))</f>
        <v>Single source</v>
      </c>
      <c r="L172" s="8" t="str">
        <f aca="false">IF(J172&gt;=3,"Tier 1: Must in 3+ sources",IF(J172=2,"Tier 2: Must in 2 sources",IF(J172=1,"Tier 3: Must in 1 source",IF(COUNTIF(M172:R172,"S")&gt;0,"Tier 4: Should only",IF(COUNTIF(M172:R172,"C")&gt;0,"Tier 5: Could only",IF(I172&gt;0,"Tier 6: stated, no priority","Aurigo-only"))))))</f>
        <v>Tier 3: Must in 1 source</v>
      </c>
      <c r="M172" s="12" t="s">
        <v>194</v>
      </c>
      <c r="N172" s="12"/>
      <c r="O172" s="12"/>
      <c r="P172" s="12"/>
      <c r="Q172" s="12"/>
      <c r="R172" s="12"/>
      <c r="S172" s="8" t="s">
        <v>1112</v>
      </c>
      <c r="T172" s="8"/>
      <c r="U172" s="8"/>
      <c r="V172" s="8" t="s">
        <v>204</v>
      </c>
      <c r="W172" s="8" t="s">
        <v>205</v>
      </c>
      <c r="X172" s="8"/>
      <c r="Y172" s="8"/>
      <c r="Z172" s="7" t="s">
        <v>37</v>
      </c>
      <c r="AA172" s="8" t="s">
        <v>38</v>
      </c>
      <c r="AB172" s="9" t="n">
        <v>23</v>
      </c>
      <c r="AC172" s="8" t="s">
        <v>417</v>
      </c>
    </row>
    <row r="173" customFormat="false" ht="99.75" hidden="false" customHeight="true" outlineLevel="0" collapsed="false">
      <c r="A173" s="12" t="s">
        <v>1113</v>
      </c>
      <c r="B173" s="8" t="s">
        <v>1047</v>
      </c>
      <c r="C173" s="8" t="s">
        <v>1114</v>
      </c>
      <c r="D173" s="8" t="s">
        <v>1115</v>
      </c>
      <c r="E173" s="8" t="s">
        <v>1116</v>
      </c>
      <c r="F173" s="8" t="s">
        <v>1117</v>
      </c>
      <c r="G173" s="8" t="s">
        <v>193</v>
      </c>
      <c r="H173" s="8" t="str">
        <f aca="false">IF(COUNTIF(M173:R173,"M")&gt;0,"Must Have",IF(COUNTIF(M173:R173,"S")&gt;0,"Should Have",IF(COUNTIF(M173:R173,"C")&gt;0,"Could Have",IF(COUNTA(M173:R173)&gt;0,"Stated – no priority","Aurigo-only (no RFP source)"))))</f>
        <v>Must Have</v>
      </c>
      <c r="I173" s="12" t="n">
        <f aca="false">COUNTA(M173:R173)</f>
        <v>4</v>
      </c>
      <c r="J173" s="12" t="n">
        <f aca="false">COUNTIF(M173:R173,"M")</f>
        <v>3</v>
      </c>
      <c r="K173" s="8" t="str">
        <f aca="false">IF(I173=0,"Aurigo-only",IF(I173=1,"Single source",IF(I173=2,"Two sources",IF(I173&lt;=4,"Common (3-4)","Broad (5+)"))))</f>
        <v>Common (3-4)</v>
      </c>
      <c r="L173" s="8" t="str">
        <f aca="false">IF(J173&gt;=3,"Tier 1: Must in 3+ sources",IF(J173=2,"Tier 2: Must in 2 sources",IF(J173=1,"Tier 3: Must in 1 source",IF(COUNTIF(M173:R173,"S")&gt;0,"Tier 4: Should only",IF(COUNTIF(M173:R173,"C")&gt;0,"Tier 5: Could only",IF(I173&gt;0,"Tier 6: stated, no priority","Aurigo-only"))))))</f>
        <v>Tier 1: Must in 3+ sources</v>
      </c>
      <c r="M173" s="12" t="s">
        <v>194</v>
      </c>
      <c r="N173" s="12" t="s">
        <v>194</v>
      </c>
      <c r="O173" s="12" t="s">
        <v>232</v>
      </c>
      <c r="P173" s="12"/>
      <c r="Q173" s="12"/>
      <c r="R173" s="12" t="s">
        <v>194</v>
      </c>
      <c r="S173" s="8" t="s">
        <v>1118</v>
      </c>
      <c r="T173" s="8"/>
      <c r="U173" s="8"/>
      <c r="V173" s="8" t="s">
        <v>204</v>
      </c>
      <c r="W173" s="8" t="s">
        <v>205</v>
      </c>
      <c r="X173" s="8"/>
      <c r="Y173" s="8"/>
      <c r="Z173" s="7" t="s">
        <v>49</v>
      </c>
      <c r="AA173" s="8" t="s">
        <v>50</v>
      </c>
      <c r="AB173" s="9" t="n">
        <v>53</v>
      </c>
      <c r="AC173" s="8" t="s">
        <v>573</v>
      </c>
    </row>
    <row r="174" customFormat="false" ht="24.75" hidden="false" customHeight="true" outlineLevel="0" collapsed="false">
      <c r="A174" s="12" t="s">
        <v>1119</v>
      </c>
      <c r="B174" s="8" t="s">
        <v>1047</v>
      </c>
      <c r="C174" s="8" t="s">
        <v>1114</v>
      </c>
      <c r="D174" s="8" t="s">
        <v>1115</v>
      </c>
      <c r="E174" s="8" t="s">
        <v>1120</v>
      </c>
      <c r="F174" s="8" t="s">
        <v>1121</v>
      </c>
      <c r="G174" s="8" t="s">
        <v>193</v>
      </c>
      <c r="H174" s="8" t="str">
        <f aca="false">IF(COUNTIF(M174:R174,"M")&gt;0,"Must Have",IF(COUNTIF(M174:R174,"S")&gt;0,"Should Have",IF(COUNTIF(M174:R174,"C")&gt;0,"Could Have",IF(COUNTA(M174:R174)&gt;0,"Stated – no priority","Aurigo-only (no RFP source)"))))</f>
        <v>Must Have</v>
      </c>
      <c r="I174" s="12" t="n">
        <f aca="false">COUNTA(M174:R174)</f>
        <v>1</v>
      </c>
      <c r="J174" s="12" t="n">
        <f aca="false">COUNTIF(M174:R174,"M")</f>
        <v>1</v>
      </c>
      <c r="K174" s="8" t="str">
        <f aca="false">IF(I174=0,"Aurigo-only",IF(I174=1,"Single source",IF(I174=2,"Two sources",IF(I174&lt;=4,"Common (3-4)","Broad (5+)"))))</f>
        <v>Single source</v>
      </c>
      <c r="L174" s="8" t="str">
        <f aca="false">IF(J174&gt;=3,"Tier 1: Must in 3+ sources",IF(J174=2,"Tier 2: Must in 2 sources",IF(J174=1,"Tier 3: Must in 1 source",IF(COUNTIF(M174:R174,"S")&gt;0,"Tier 4: Should only",IF(COUNTIF(M174:R174,"C")&gt;0,"Tier 5: Could only",IF(I174&gt;0,"Tier 6: stated, no priority","Aurigo-only"))))))</f>
        <v>Tier 3: Must in 1 source</v>
      </c>
      <c r="M174" s="12"/>
      <c r="N174" s="12" t="s">
        <v>194</v>
      </c>
      <c r="O174" s="12"/>
      <c r="P174" s="12"/>
      <c r="Q174" s="12"/>
      <c r="R174" s="12"/>
      <c r="S174" s="8" t="s">
        <v>1122</v>
      </c>
      <c r="T174" s="8"/>
      <c r="U174" s="8"/>
      <c r="V174" s="8" t="s">
        <v>204</v>
      </c>
      <c r="W174" s="8" t="s">
        <v>205</v>
      </c>
      <c r="X174" s="8"/>
      <c r="Y174" s="8"/>
      <c r="Z174" s="7" t="s">
        <v>129</v>
      </c>
      <c r="AA174" s="8" t="s">
        <v>130</v>
      </c>
      <c r="AB174" s="9" t="n">
        <v>297</v>
      </c>
      <c r="AC174" s="8" t="s">
        <v>1113</v>
      </c>
    </row>
    <row r="175" customFormat="false" ht="62.25" hidden="false" customHeight="true" outlineLevel="0" collapsed="false">
      <c r="A175" s="12" t="s">
        <v>1123</v>
      </c>
      <c r="B175" s="8" t="s">
        <v>1047</v>
      </c>
      <c r="C175" s="8" t="s">
        <v>1114</v>
      </c>
      <c r="D175" s="8" t="s">
        <v>1115</v>
      </c>
      <c r="E175" s="8" t="s">
        <v>1124</v>
      </c>
      <c r="F175" s="8" t="s">
        <v>1125</v>
      </c>
      <c r="G175" s="8" t="s">
        <v>193</v>
      </c>
      <c r="H175" s="8" t="str">
        <f aca="false">IF(COUNTIF(M175:R175,"M")&gt;0,"Must Have",IF(COUNTIF(M175:R175,"S")&gt;0,"Should Have",IF(COUNTIF(M175:R175,"C")&gt;0,"Could Have",IF(COUNTA(M175:R175)&gt;0,"Stated – no priority","Aurigo-only (no RFP source)"))))</f>
        <v>Must Have</v>
      </c>
      <c r="I175" s="12" t="n">
        <f aca="false">COUNTA(M175:R175)</f>
        <v>3</v>
      </c>
      <c r="J175" s="12" t="n">
        <f aca="false">COUNTIF(M175:R175,"M")</f>
        <v>2</v>
      </c>
      <c r="K175" s="8" t="str">
        <f aca="false">IF(I175=0,"Aurigo-only",IF(I175=1,"Single source",IF(I175=2,"Two sources",IF(I175&lt;=4,"Common (3-4)","Broad (5+)"))))</f>
        <v>Common (3-4)</v>
      </c>
      <c r="L175" s="8" t="str">
        <f aca="false">IF(J175&gt;=3,"Tier 1: Must in 3+ sources",IF(J175=2,"Tier 2: Must in 2 sources",IF(J175=1,"Tier 3: Must in 1 source",IF(COUNTIF(M175:R175,"S")&gt;0,"Tier 4: Should only",IF(COUNTIF(M175:R175,"C")&gt;0,"Tier 5: Could only",IF(I175&gt;0,"Tier 6: stated, no priority","Aurigo-only"))))))</f>
        <v>Tier 2: Must in 2 sources</v>
      </c>
      <c r="M175" s="12" t="s">
        <v>194</v>
      </c>
      <c r="N175" s="12"/>
      <c r="O175" s="12" t="s">
        <v>232</v>
      </c>
      <c r="P175" s="12"/>
      <c r="Q175" s="12"/>
      <c r="R175" s="12" t="s">
        <v>194</v>
      </c>
      <c r="S175" s="8" t="s">
        <v>1126</v>
      </c>
      <c r="T175" s="8"/>
      <c r="U175" s="8"/>
      <c r="V175" s="8" t="s">
        <v>204</v>
      </c>
      <c r="W175" s="8" t="s">
        <v>205</v>
      </c>
      <c r="X175" s="8"/>
      <c r="Y175" s="8"/>
      <c r="Z175" s="7" t="s">
        <v>129</v>
      </c>
      <c r="AA175" s="8" t="s">
        <v>130</v>
      </c>
      <c r="AB175" s="9" t="n">
        <v>296</v>
      </c>
      <c r="AC175" s="8" t="s">
        <v>1127</v>
      </c>
    </row>
    <row r="176" customFormat="false" ht="37.5" hidden="false" customHeight="true" outlineLevel="0" collapsed="false">
      <c r="A176" s="12" t="s">
        <v>1127</v>
      </c>
      <c r="B176" s="8" t="s">
        <v>1047</v>
      </c>
      <c r="C176" s="8" t="s">
        <v>1114</v>
      </c>
      <c r="D176" s="8" t="s">
        <v>1128</v>
      </c>
      <c r="E176" s="8" t="s">
        <v>1129</v>
      </c>
      <c r="F176" s="8" t="s">
        <v>1130</v>
      </c>
      <c r="G176" s="8" t="s">
        <v>193</v>
      </c>
      <c r="H176" s="8" t="str">
        <f aca="false">IF(COUNTIF(M176:R176,"M")&gt;0,"Must Have",IF(COUNTIF(M176:R176,"S")&gt;0,"Should Have",IF(COUNTIF(M176:R176,"C")&gt;0,"Could Have",IF(COUNTA(M176:R176)&gt;0,"Stated – no priority","Aurigo-only (no RFP source)"))))</f>
        <v>Must Have</v>
      </c>
      <c r="I176" s="12" t="n">
        <f aca="false">COUNTA(M176:R176)</f>
        <v>2</v>
      </c>
      <c r="J176" s="12" t="n">
        <f aca="false">COUNTIF(M176:R176,"M")</f>
        <v>2</v>
      </c>
      <c r="K176" s="8" t="str">
        <f aca="false">IF(I176=0,"Aurigo-only",IF(I176=1,"Single source",IF(I176=2,"Two sources",IF(I176&lt;=4,"Common (3-4)","Broad (5+)"))))</f>
        <v>Two sources</v>
      </c>
      <c r="L176" s="8" t="str">
        <f aca="false">IF(J176&gt;=3,"Tier 1: Must in 3+ sources",IF(J176=2,"Tier 2: Must in 2 sources",IF(J176=1,"Tier 3: Must in 1 source",IF(COUNTIF(M176:R176,"S")&gt;0,"Tier 4: Should only",IF(COUNTIF(M176:R176,"C")&gt;0,"Tier 5: Could only",IF(I176&gt;0,"Tier 6: stated, no priority","Aurigo-only"))))))</f>
        <v>Tier 2: Must in 2 sources</v>
      </c>
      <c r="M176" s="12" t="s">
        <v>194</v>
      </c>
      <c r="N176" s="12"/>
      <c r="O176" s="12" t="s">
        <v>194</v>
      </c>
      <c r="P176" s="12"/>
      <c r="Q176" s="12"/>
      <c r="R176" s="12"/>
      <c r="S176" s="8" t="s">
        <v>1131</v>
      </c>
      <c r="T176" s="8"/>
      <c r="U176" s="8"/>
      <c r="V176" s="8" t="s">
        <v>214</v>
      </c>
      <c r="W176" s="8" t="s">
        <v>1132</v>
      </c>
      <c r="X176" s="8"/>
      <c r="Y176" s="8"/>
      <c r="Z176" s="7" t="s">
        <v>129</v>
      </c>
      <c r="AA176" s="8" t="s">
        <v>130</v>
      </c>
      <c r="AB176" s="9" t="n">
        <v>295</v>
      </c>
      <c r="AC176" s="8" t="s">
        <v>1133</v>
      </c>
    </row>
    <row r="177" customFormat="false" ht="37.5" hidden="false" customHeight="true" outlineLevel="0" collapsed="false">
      <c r="A177" s="12" t="s">
        <v>1134</v>
      </c>
      <c r="B177" s="8" t="s">
        <v>1047</v>
      </c>
      <c r="C177" s="8" t="s">
        <v>1114</v>
      </c>
      <c r="D177" s="8" t="s">
        <v>1135</v>
      </c>
      <c r="E177" s="8" t="s">
        <v>1136</v>
      </c>
      <c r="F177" s="8" t="s">
        <v>1137</v>
      </c>
      <c r="G177" s="8" t="s">
        <v>397</v>
      </c>
      <c r="H177" s="8" t="str">
        <f aca="false">IF(COUNTIF(M177:R177,"M")&gt;0,"Must Have",IF(COUNTIF(M177:R177,"S")&gt;0,"Should Have",IF(COUNTIF(M177:R177,"C")&gt;0,"Could Have",IF(COUNTA(M177:R177)&gt;0,"Stated – no priority","Aurigo-only (no RFP source)"))))</f>
        <v>Must Have</v>
      </c>
      <c r="I177" s="12" t="n">
        <f aca="false">COUNTA(M177:R177)</f>
        <v>1</v>
      </c>
      <c r="J177" s="12" t="n">
        <f aca="false">COUNTIF(M177:R177,"M")</f>
        <v>1</v>
      </c>
      <c r="K177" s="8" t="str">
        <f aca="false">IF(I177=0,"Aurigo-only",IF(I177=1,"Single source",IF(I177=2,"Two sources",IF(I177&lt;=4,"Common (3-4)","Broad (5+)"))))</f>
        <v>Single source</v>
      </c>
      <c r="L177" s="8" t="str">
        <f aca="false">IF(J177&gt;=3,"Tier 1: Must in 3+ sources",IF(J177=2,"Tier 2: Must in 2 sources",IF(J177=1,"Tier 3: Must in 1 source",IF(COUNTIF(M177:R177,"S")&gt;0,"Tier 4: Should only",IF(COUNTIF(M177:R177,"C")&gt;0,"Tier 5: Could only",IF(I177&gt;0,"Tier 6: stated, no priority","Aurigo-only"))))))</f>
        <v>Tier 3: Must in 1 source</v>
      </c>
      <c r="M177" s="12" t="s">
        <v>194</v>
      </c>
      <c r="N177" s="12"/>
      <c r="O177" s="12"/>
      <c r="P177" s="12"/>
      <c r="Q177" s="12"/>
      <c r="R177" s="12"/>
      <c r="S177" s="8" t="s">
        <v>1138</v>
      </c>
      <c r="T177" s="8"/>
      <c r="U177" s="8" t="s">
        <v>1139</v>
      </c>
      <c r="V177" s="8" t="s">
        <v>204</v>
      </c>
      <c r="W177" s="8" t="s">
        <v>205</v>
      </c>
      <c r="X177" s="8"/>
      <c r="Y177" s="8"/>
      <c r="Z177" s="7" t="s">
        <v>135</v>
      </c>
      <c r="AA177" s="8" t="s">
        <v>136</v>
      </c>
      <c r="AB177" s="9" t="n">
        <v>314</v>
      </c>
      <c r="AC177" s="8" t="s">
        <v>1140</v>
      </c>
    </row>
    <row r="178" customFormat="false" ht="112.5" hidden="false" customHeight="true" outlineLevel="0" collapsed="false">
      <c r="A178" s="12" t="s">
        <v>1141</v>
      </c>
      <c r="B178" s="8" t="s">
        <v>1047</v>
      </c>
      <c r="C178" s="8" t="s">
        <v>1142</v>
      </c>
      <c r="D178" s="8" t="s">
        <v>1143</v>
      </c>
      <c r="E178" s="8" t="s">
        <v>1144</v>
      </c>
      <c r="F178" s="8" t="s">
        <v>1145</v>
      </c>
      <c r="G178" s="8" t="s">
        <v>193</v>
      </c>
      <c r="H178" s="8" t="str">
        <f aca="false">IF(COUNTIF(M178:R178,"M")&gt;0,"Must Have",IF(COUNTIF(M178:R178,"S")&gt;0,"Should Have",IF(COUNTIF(M178:R178,"C")&gt;0,"Could Have",IF(COUNTA(M178:R178)&gt;0,"Stated – no priority","Aurigo-only (no RFP source)"))))</f>
        <v>Must Have</v>
      </c>
      <c r="I178" s="12" t="n">
        <f aca="false">COUNTA(M178:R178)</f>
        <v>4</v>
      </c>
      <c r="J178" s="12" t="n">
        <f aca="false">COUNTIF(M178:R178,"M")</f>
        <v>4</v>
      </c>
      <c r="K178" s="8" t="str">
        <f aca="false">IF(I178=0,"Aurigo-only",IF(I178=1,"Single source",IF(I178=2,"Two sources",IF(I178&lt;=4,"Common (3-4)","Broad (5+)"))))</f>
        <v>Common (3-4)</v>
      </c>
      <c r="L178" s="8" t="str">
        <f aca="false">IF(J178&gt;=3,"Tier 1: Must in 3+ sources",IF(J178=2,"Tier 2: Must in 2 sources",IF(J178=1,"Tier 3: Must in 1 source",IF(COUNTIF(M178:R178,"S")&gt;0,"Tier 4: Should only",IF(COUNTIF(M178:R178,"C")&gt;0,"Tier 5: Could only",IF(I178&gt;0,"Tier 6: stated, no priority","Aurigo-only"))))))</f>
        <v>Tier 1: Must in 3+ sources</v>
      </c>
      <c r="M178" s="12" t="s">
        <v>194</v>
      </c>
      <c r="N178" s="12" t="s">
        <v>194</v>
      </c>
      <c r="O178" s="12"/>
      <c r="P178" s="12"/>
      <c r="Q178" s="12" t="s">
        <v>194</v>
      </c>
      <c r="R178" s="12" t="s">
        <v>194</v>
      </c>
      <c r="S178" s="8" t="s">
        <v>1146</v>
      </c>
      <c r="T178" s="8"/>
      <c r="U178" s="8"/>
      <c r="V178" s="8" t="s">
        <v>227</v>
      </c>
      <c r="W178" s="8" t="s">
        <v>1147</v>
      </c>
      <c r="X178" s="8"/>
      <c r="Y178" s="8"/>
      <c r="Z178" s="7" t="s">
        <v>46</v>
      </c>
      <c r="AA178" s="8" t="s">
        <v>47</v>
      </c>
      <c r="AB178" s="9" t="n">
        <v>46</v>
      </c>
      <c r="AC178" s="8" t="s">
        <v>326</v>
      </c>
    </row>
    <row r="179" customFormat="false" ht="37.5" hidden="false" customHeight="true" outlineLevel="0" collapsed="false">
      <c r="A179" s="12" t="s">
        <v>1148</v>
      </c>
      <c r="B179" s="8" t="s">
        <v>1047</v>
      </c>
      <c r="C179" s="8" t="s">
        <v>1142</v>
      </c>
      <c r="D179" s="8" t="s">
        <v>1149</v>
      </c>
      <c r="E179" s="8" t="s">
        <v>1150</v>
      </c>
      <c r="F179" s="8" t="s">
        <v>1151</v>
      </c>
      <c r="G179" s="8" t="s">
        <v>193</v>
      </c>
      <c r="H179" s="8" t="str">
        <f aca="false">IF(COUNTIF(M179:R179,"M")&gt;0,"Must Have",IF(COUNTIF(M179:R179,"S")&gt;0,"Should Have",IF(COUNTIF(M179:R179,"C")&gt;0,"Could Have",IF(COUNTA(M179:R179)&gt;0,"Stated – no priority","Aurigo-only (no RFP source)"))))</f>
        <v>Must Have</v>
      </c>
      <c r="I179" s="12" t="n">
        <f aca="false">COUNTA(M179:R179)</f>
        <v>1</v>
      </c>
      <c r="J179" s="12" t="n">
        <f aca="false">COUNTIF(M179:R179,"M")</f>
        <v>1</v>
      </c>
      <c r="K179" s="8" t="str">
        <f aca="false">IF(I179=0,"Aurigo-only",IF(I179=1,"Single source",IF(I179=2,"Two sources",IF(I179&lt;=4,"Common (3-4)","Broad (5+)"))))</f>
        <v>Single source</v>
      </c>
      <c r="L179" s="8" t="str">
        <f aca="false">IF(J179&gt;=3,"Tier 1: Must in 3+ sources",IF(J179=2,"Tier 2: Must in 2 sources",IF(J179=1,"Tier 3: Must in 1 source",IF(COUNTIF(M179:R179,"S")&gt;0,"Tier 4: Should only",IF(COUNTIF(M179:R179,"C")&gt;0,"Tier 5: Could only",IF(I179&gt;0,"Tier 6: stated, no priority","Aurigo-only"))))))</f>
        <v>Tier 3: Must in 1 source</v>
      </c>
      <c r="M179" s="12" t="s">
        <v>194</v>
      </c>
      <c r="N179" s="12"/>
      <c r="O179" s="12"/>
      <c r="P179" s="12"/>
      <c r="Q179" s="12"/>
      <c r="R179" s="12"/>
      <c r="S179" s="8" t="s">
        <v>1152</v>
      </c>
      <c r="T179" s="8"/>
      <c r="U179" s="8"/>
      <c r="V179" s="8" t="s">
        <v>204</v>
      </c>
      <c r="W179" s="8" t="s">
        <v>205</v>
      </c>
      <c r="X179" s="8"/>
      <c r="Y179" s="8"/>
      <c r="Z179" s="7" t="s">
        <v>46</v>
      </c>
      <c r="AA179" s="8" t="s">
        <v>47</v>
      </c>
      <c r="AB179" s="9" t="n">
        <v>49</v>
      </c>
      <c r="AC179" s="8" t="s">
        <v>1153</v>
      </c>
    </row>
    <row r="180" customFormat="false" ht="24.75" hidden="false" customHeight="true" outlineLevel="0" collapsed="false">
      <c r="A180" s="12" t="s">
        <v>1154</v>
      </c>
      <c r="B180" s="8" t="s">
        <v>1047</v>
      </c>
      <c r="C180" s="8" t="s">
        <v>1142</v>
      </c>
      <c r="D180" s="8" t="s">
        <v>1149</v>
      </c>
      <c r="E180" s="8" t="s">
        <v>1155</v>
      </c>
      <c r="F180" s="8" t="s">
        <v>1156</v>
      </c>
      <c r="G180" s="8" t="s">
        <v>397</v>
      </c>
      <c r="H180" s="8" t="str">
        <f aca="false">IF(COUNTIF(M180:R180,"M")&gt;0,"Must Have",IF(COUNTIF(M180:R180,"S")&gt;0,"Should Have",IF(COUNTIF(M180:R180,"C")&gt;0,"Could Have",IF(COUNTA(M180:R180)&gt;0,"Stated – no priority","Aurigo-only (no RFP source)"))))</f>
        <v>Must Have</v>
      </c>
      <c r="I180" s="12" t="n">
        <f aca="false">COUNTA(M180:R180)</f>
        <v>1</v>
      </c>
      <c r="J180" s="12" t="n">
        <f aca="false">COUNTIF(M180:R180,"M")</f>
        <v>1</v>
      </c>
      <c r="K180" s="8" t="str">
        <f aca="false">IF(I180=0,"Aurigo-only",IF(I180=1,"Single source",IF(I180=2,"Two sources",IF(I180&lt;=4,"Common (3-4)","Broad (5+)"))))</f>
        <v>Single source</v>
      </c>
      <c r="L180" s="8" t="str">
        <f aca="false">IF(J180&gt;=3,"Tier 1: Must in 3+ sources",IF(J180=2,"Tier 2: Must in 2 sources",IF(J180=1,"Tier 3: Must in 1 source",IF(COUNTIF(M180:R180,"S")&gt;0,"Tier 4: Should only",IF(COUNTIF(M180:R180,"C")&gt;0,"Tier 5: Could only",IF(I180&gt;0,"Tier 6: stated, no priority","Aurigo-only"))))))</f>
        <v>Tier 3: Must in 1 source</v>
      </c>
      <c r="M180" s="12" t="s">
        <v>194</v>
      </c>
      <c r="N180" s="12"/>
      <c r="O180" s="12"/>
      <c r="P180" s="12"/>
      <c r="Q180" s="12"/>
      <c r="R180" s="12"/>
      <c r="S180" s="8" t="s">
        <v>1157</v>
      </c>
      <c r="T180" s="8"/>
      <c r="U180" s="8" t="s">
        <v>1158</v>
      </c>
      <c r="V180" s="8" t="s">
        <v>204</v>
      </c>
      <c r="W180" s="8" t="s">
        <v>205</v>
      </c>
      <c r="X180" s="8"/>
      <c r="Y180" s="8"/>
      <c r="Z180" s="7" t="s">
        <v>135</v>
      </c>
      <c r="AA180" s="8" t="s">
        <v>136</v>
      </c>
      <c r="AB180" s="9" t="n">
        <v>315</v>
      </c>
      <c r="AC180" s="8" t="s">
        <v>1148</v>
      </c>
    </row>
    <row r="181" customFormat="false" ht="49.5" hidden="false" customHeight="true" outlineLevel="0" collapsed="false">
      <c r="A181" s="12" t="s">
        <v>1159</v>
      </c>
      <c r="B181" s="8" t="s">
        <v>1047</v>
      </c>
      <c r="C181" s="8" t="s">
        <v>1142</v>
      </c>
      <c r="D181" s="8" t="s">
        <v>1143</v>
      </c>
      <c r="E181" s="8" t="s">
        <v>1160</v>
      </c>
      <c r="F181" s="8" t="s">
        <v>1161</v>
      </c>
      <c r="G181" s="8" t="s">
        <v>193</v>
      </c>
      <c r="H181" s="8" t="str">
        <f aca="false">IF(COUNTIF(M181:R181,"M")&gt;0,"Must Have",IF(COUNTIF(M181:R181,"S")&gt;0,"Should Have",IF(COUNTIF(M181:R181,"C")&gt;0,"Could Have",IF(COUNTA(M181:R181)&gt;0,"Stated – no priority","Aurigo-only (no RFP source)"))))</f>
        <v>Must Have</v>
      </c>
      <c r="I181" s="12" t="n">
        <f aca="false">COUNTA(M181:R181)</f>
        <v>2</v>
      </c>
      <c r="J181" s="12" t="n">
        <f aca="false">COUNTIF(M181:R181,"M")</f>
        <v>2</v>
      </c>
      <c r="K181" s="8" t="str">
        <f aca="false">IF(I181=0,"Aurigo-only",IF(I181=1,"Single source",IF(I181=2,"Two sources",IF(I181&lt;=4,"Common (3-4)","Broad (5+)"))))</f>
        <v>Two sources</v>
      </c>
      <c r="L181" s="8" t="str">
        <f aca="false">IF(J181&gt;=3,"Tier 1: Must in 3+ sources",IF(J181=2,"Tier 2: Must in 2 sources",IF(J181=1,"Tier 3: Must in 1 source",IF(COUNTIF(M181:R181,"S")&gt;0,"Tier 4: Should only",IF(COUNTIF(M181:R181,"C")&gt;0,"Tier 5: Could only",IF(I181&gt;0,"Tier 6: stated, no priority","Aurigo-only"))))))</f>
        <v>Tier 2: Must in 2 sources</v>
      </c>
      <c r="M181" s="12" t="s">
        <v>194</v>
      </c>
      <c r="N181" s="12" t="s">
        <v>194</v>
      </c>
      <c r="O181" s="12"/>
      <c r="P181" s="12"/>
      <c r="Q181" s="12"/>
      <c r="R181" s="12"/>
      <c r="S181" s="8" t="s">
        <v>1162</v>
      </c>
      <c r="T181" s="8"/>
      <c r="U181" s="8"/>
      <c r="V181" s="8" t="s">
        <v>197</v>
      </c>
      <c r="W181" s="8" t="s">
        <v>1163</v>
      </c>
      <c r="X181" s="8"/>
      <c r="Y181" s="8"/>
      <c r="Z181" s="7" t="s">
        <v>46</v>
      </c>
      <c r="AA181" s="8" t="s">
        <v>47</v>
      </c>
      <c r="AB181" s="9" t="n">
        <v>48</v>
      </c>
      <c r="AC181" s="8" t="s">
        <v>1141</v>
      </c>
    </row>
    <row r="182" customFormat="false" ht="75" hidden="false" customHeight="true" outlineLevel="0" collapsed="false">
      <c r="A182" s="12" t="s">
        <v>1164</v>
      </c>
      <c r="B182" s="8" t="s">
        <v>1047</v>
      </c>
      <c r="C182" s="8" t="s">
        <v>1165</v>
      </c>
      <c r="D182" s="8" t="s">
        <v>1165</v>
      </c>
      <c r="E182" s="8" t="s">
        <v>1166</v>
      </c>
      <c r="F182" s="8" t="s">
        <v>1167</v>
      </c>
      <c r="G182" s="8" t="s">
        <v>397</v>
      </c>
      <c r="H182" s="8" t="str">
        <f aca="false">IF(COUNTIF(M182:R182,"M")&gt;0,"Must Have",IF(COUNTIF(M182:R182,"S")&gt;0,"Should Have",IF(COUNTIF(M182:R182,"C")&gt;0,"Could Have",IF(COUNTA(M182:R182)&gt;0,"Stated – no priority","Aurigo-only (no RFP source)"))))</f>
        <v>Must Have</v>
      </c>
      <c r="I182" s="12" t="n">
        <f aca="false">COUNTA(M182:R182)</f>
        <v>3</v>
      </c>
      <c r="J182" s="12" t="n">
        <f aca="false">COUNTIF(M182:R182,"M")</f>
        <v>3</v>
      </c>
      <c r="K182" s="8" t="str">
        <f aca="false">IF(I182=0,"Aurigo-only",IF(I182=1,"Single source",IF(I182=2,"Two sources",IF(I182&lt;=4,"Common (3-4)","Broad (5+)"))))</f>
        <v>Common (3-4)</v>
      </c>
      <c r="L182" s="8" t="str">
        <f aca="false">IF(J182&gt;=3,"Tier 1: Must in 3+ sources",IF(J182=2,"Tier 2: Must in 2 sources",IF(J182=1,"Tier 3: Must in 1 source",IF(COUNTIF(M182:R182,"S")&gt;0,"Tier 4: Should only",IF(COUNTIF(M182:R182,"C")&gt;0,"Tier 5: Could only",IF(I182&gt;0,"Tier 6: stated, no priority","Aurigo-only"))))))</f>
        <v>Tier 1: Must in 3+ sources</v>
      </c>
      <c r="M182" s="12" t="s">
        <v>194</v>
      </c>
      <c r="N182" s="12" t="s">
        <v>194</v>
      </c>
      <c r="O182" s="12"/>
      <c r="P182" s="12"/>
      <c r="Q182" s="12"/>
      <c r="R182" s="12" t="s">
        <v>194</v>
      </c>
      <c r="S182" s="8" t="s">
        <v>1168</v>
      </c>
      <c r="T182" s="8"/>
      <c r="U182" s="8" t="s">
        <v>1169</v>
      </c>
      <c r="V182" s="8" t="s">
        <v>197</v>
      </c>
      <c r="W182" s="8" t="s">
        <v>1170</v>
      </c>
      <c r="X182" s="8"/>
      <c r="Y182" s="8"/>
      <c r="Z182" s="7" t="s">
        <v>46</v>
      </c>
      <c r="AA182" s="8" t="s">
        <v>47</v>
      </c>
      <c r="AB182" s="9" t="n">
        <v>47</v>
      </c>
      <c r="AC182" s="8" t="s">
        <v>1171</v>
      </c>
    </row>
    <row r="183" customFormat="false" ht="174.75" hidden="false" customHeight="true" outlineLevel="0" collapsed="false">
      <c r="A183" s="12" t="s">
        <v>995</v>
      </c>
      <c r="B183" s="8" t="s">
        <v>1047</v>
      </c>
      <c r="C183" s="8" t="s">
        <v>1172</v>
      </c>
      <c r="D183" s="8" t="s">
        <v>1173</v>
      </c>
      <c r="E183" s="8" t="s">
        <v>1174</v>
      </c>
      <c r="F183" s="8" t="s">
        <v>1175</v>
      </c>
      <c r="G183" s="8" t="s">
        <v>397</v>
      </c>
      <c r="H183" s="8" t="str">
        <f aca="false">IF(COUNTIF(M183:R183,"M")&gt;0,"Must Have",IF(COUNTIF(M183:R183,"S")&gt;0,"Should Have",IF(COUNTIF(M183:R183,"C")&gt;0,"Could Have",IF(COUNTA(M183:R183)&gt;0,"Stated – no priority","Aurigo-only (no RFP source)"))))</f>
        <v>Must Have</v>
      </c>
      <c r="I183" s="12" t="n">
        <f aca="false">COUNTA(M183:R183)</f>
        <v>6</v>
      </c>
      <c r="J183" s="12" t="n">
        <f aca="false">COUNTIF(M183:R183,"M")</f>
        <v>4</v>
      </c>
      <c r="K183" s="8" t="str">
        <f aca="false">IF(I183=0,"Aurigo-only",IF(I183=1,"Single source",IF(I183=2,"Two sources",IF(I183&lt;=4,"Common (3-4)","Broad (5+)"))))</f>
        <v>Broad (5+)</v>
      </c>
      <c r="L183" s="8" t="str">
        <f aca="false">IF(J183&gt;=3,"Tier 1: Must in 3+ sources",IF(J183=2,"Tier 2: Must in 2 sources",IF(J183=1,"Tier 3: Must in 1 source",IF(COUNTIF(M183:R183,"S")&gt;0,"Tier 4: Should only",IF(COUNTIF(M183:R183,"C")&gt;0,"Tier 5: Could only",IF(I183&gt;0,"Tier 6: stated, no priority","Aurigo-only"))))))</f>
        <v>Tier 1: Must in 3+ sources</v>
      </c>
      <c r="M183" s="12" t="s">
        <v>194</v>
      </c>
      <c r="N183" s="12" t="s">
        <v>810</v>
      </c>
      <c r="O183" s="12" t="s">
        <v>194</v>
      </c>
      <c r="P183" s="12" t="s">
        <v>195</v>
      </c>
      <c r="Q183" s="12" t="s">
        <v>194</v>
      </c>
      <c r="R183" s="12" t="s">
        <v>194</v>
      </c>
      <c r="S183" s="8" t="s">
        <v>1176</v>
      </c>
      <c r="T183" s="8"/>
      <c r="U183" s="8" t="s">
        <v>1177</v>
      </c>
      <c r="V183" s="8" t="s">
        <v>197</v>
      </c>
      <c r="W183" s="8" t="s">
        <v>1178</v>
      </c>
      <c r="X183" s="8"/>
      <c r="Y183" s="8" t="s">
        <v>1179</v>
      </c>
      <c r="Z183" s="7" t="s">
        <v>43</v>
      </c>
      <c r="AA183" s="8" t="s">
        <v>44</v>
      </c>
      <c r="AB183" s="9" t="n">
        <v>43</v>
      </c>
      <c r="AC183" s="8" t="s">
        <v>217</v>
      </c>
    </row>
    <row r="184" customFormat="false" ht="24.75" hidden="false" customHeight="true" outlineLevel="0" collapsed="false">
      <c r="A184" s="12" t="s">
        <v>1180</v>
      </c>
      <c r="B184" s="8" t="s">
        <v>1047</v>
      </c>
      <c r="C184" s="8" t="s">
        <v>1172</v>
      </c>
      <c r="D184" s="8" t="s">
        <v>1173</v>
      </c>
      <c r="E184" s="8" t="s">
        <v>1181</v>
      </c>
      <c r="F184" s="8" t="s">
        <v>1182</v>
      </c>
      <c r="G184" s="8" t="s">
        <v>397</v>
      </c>
      <c r="H184" s="8" t="str">
        <f aca="false">IF(COUNTIF(M184:R184,"M")&gt;0,"Must Have",IF(COUNTIF(M184:R184,"S")&gt;0,"Should Have",IF(COUNTIF(M184:R184,"C")&gt;0,"Could Have",IF(COUNTA(M184:R184)&gt;0,"Stated – no priority","Aurigo-only (no RFP source)"))))</f>
        <v>Must Have</v>
      </c>
      <c r="I184" s="12" t="n">
        <f aca="false">COUNTA(M184:R184)</f>
        <v>1</v>
      </c>
      <c r="J184" s="12" t="n">
        <f aca="false">COUNTIF(M184:R184,"M")</f>
        <v>1</v>
      </c>
      <c r="K184" s="8" t="str">
        <f aca="false">IF(I184=0,"Aurigo-only",IF(I184=1,"Single source",IF(I184=2,"Two sources",IF(I184&lt;=4,"Common (3-4)","Broad (5+)"))))</f>
        <v>Single source</v>
      </c>
      <c r="L184" s="8" t="str">
        <f aca="false">IF(J184&gt;=3,"Tier 1: Must in 3+ sources",IF(J184=2,"Tier 2: Must in 2 sources",IF(J184=1,"Tier 3: Must in 1 source",IF(COUNTIF(M184:R184,"S")&gt;0,"Tier 4: Should only",IF(COUNTIF(M184:R184,"C")&gt;0,"Tier 5: Could only",IF(I184&gt;0,"Tier 6: stated, no priority","Aurigo-only"))))))</f>
        <v>Tier 3: Must in 1 source</v>
      </c>
      <c r="M184" s="12"/>
      <c r="N184" s="12"/>
      <c r="O184" s="12" t="s">
        <v>194</v>
      </c>
      <c r="P184" s="12"/>
      <c r="Q184" s="12"/>
      <c r="R184" s="12"/>
      <c r="S184" s="8" t="s">
        <v>1183</v>
      </c>
      <c r="T184" s="8"/>
      <c r="U184" s="8" t="s">
        <v>1184</v>
      </c>
      <c r="V184" s="8" t="s">
        <v>204</v>
      </c>
      <c r="W184" s="8" t="s">
        <v>205</v>
      </c>
      <c r="X184" s="8"/>
      <c r="Y184" s="8"/>
      <c r="Z184" s="7" t="s">
        <v>135</v>
      </c>
      <c r="AA184" s="8" t="s">
        <v>136</v>
      </c>
      <c r="AB184" s="9" t="n">
        <v>311</v>
      </c>
      <c r="AC184" s="8" t="s">
        <v>995</v>
      </c>
    </row>
    <row r="185" customFormat="false" ht="49.5" hidden="false" customHeight="true" outlineLevel="0" collapsed="false">
      <c r="A185" s="12" t="s">
        <v>1185</v>
      </c>
      <c r="B185" s="8" t="s">
        <v>1047</v>
      </c>
      <c r="C185" s="8" t="s">
        <v>1172</v>
      </c>
      <c r="D185" s="8" t="s">
        <v>1173</v>
      </c>
      <c r="E185" s="8" t="s">
        <v>1186</v>
      </c>
      <c r="F185" s="8" t="s">
        <v>1187</v>
      </c>
      <c r="G185" s="8" t="s">
        <v>193</v>
      </c>
      <c r="H185" s="8" t="str">
        <f aca="false">IF(COUNTIF(M185:R185,"M")&gt;0,"Must Have",IF(COUNTIF(M185:R185,"S")&gt;0,"Should Have",IF(COUNTIF(M185:R185,"C")&gt;0,"Could Have",IF(COUNTA(M185:R185)&gt;0,"Stated – no priority","Aurigo-only (no RFP source)"))))</f>
        <v>Must Have</v>
      </c>
      <c r="I185" s="12" t="n">
        <f aca="false">COUNTA(M185:R185)</f>
        <v>1</v>
      </c>
      <c r="J185" s="12" t="n">
        <f aca="false">COUNTIF(M185:R185,"M")</f>
        <v>1</v>
      </c>
      <c r="K185" s="8" t="str">
        <f aca="false">IF(I185=0,"Aurigo-only",IF(I185=1,"Single source",IF(I185=2,"Two sources",IF(I185&lt;=4,"Common (3-4)","Broad (5+)"))))</f>
        <v>Single source</v>
      </c>
      <c r="L185" s="8" t="str">
        <f aca="false">IF(J185&gt;=3,"Tier 1: Must in 3+ sources",IF(J185=2,"Tier 2: Must in 2 sources",IF(J185=1,"Tier 3: Must in 1 source",IF(COUNTIF(M185:R185,"S")&gt;0,"Tier 4: Should only",IF(COUNTIF(M185:R185,"C")&gt;0,"Tier 5: Could only",IF(I185&gt;0,"Tier 6: stated, no priority","Aurigo-only"))))))</f>
        <v>Tier 3: Must in 1 source</v>
      </c>
      <c r="M185" s="12" t="s">
        <v>194</v>
      </c>
      <c r="N185" s="12"/>
      <c r="O185" s="12"/>
      <c r="P185" s="12"/>
      <c r="Q185" s="12"/>
      <c r="R185" s="12"/>
      <c r="S185" s="8" t="s">
        <v>1188</v>
      </c>
      <c r="T185" s="8"/>
      <c r="U185" s="8"/>
      <c r="V185" s="8" t="s">
        <v>204</v>
      </c>
      <c r="W185" s="8" t="s">
        <v>205</v>
      </c>
      <c r="X185" s="8"/>
      <c r="Y185" s="8"/>
      <c r="Z185" s="7" t="s">
        <v>43</v>
      </c>
      <c r="AA185" s="8" t="s">
        <v>44</v>
      </c>
      <c r="AB185" s="9" t="n">
        <v>44</v>
      </c>
      <c r="AC185" s="8" t="s">
        <v>1189</v>
      </c>
    </row>
    <row r="186" customFormat="false" ht="49.5" hidden="false" customHeight="true" outlineLevel="0" collapsed="false">
      <c r="A186" s="12" t="s">
        <v>1190</v>
      </c>
      <c r="B186" s="8" t="s">
        <v>1047</v>
      </c>
      <c r="C186" s="8" t="s">
        <v>1172</v>
      </c>
      <c r="D186" s="8" t="s">
        <v>1173</v>
      </c>
      <c r="E186" s="8" t="s">
        <v>1191</v>
      </c>
      <c r="F186" s="8" t="s">
        <v>1192</v>
      </c>
      <c r="G186" s="8" t="s">
        <v>193</v>
      </c>
      <c r="H186" s="8" t="str">
        <f aca="false">IF(COUNTIF(M186:R186,"M")&gt;0,"Must Have",IF(COUNTIF(M186:R186,"S")&gt;0,"Should Have",IF(COUNTIF(M186:R186,"C")&gt;0,"Could Have",IF(COUNTA(M186:R186)&gt;0,"Stated – no priority","Aurigo-only (no RFP source)"))))</f>
        <v>Must Have</v>
      </c>
      <c r="I186" s="12" t="n">
        <f aca="false">COUNTA(M186:R186)</f>
        <v>1</v>
      </c>
      <c r="J186" s="12" t="n">
        <f aca="false">COUNTIF(M186:R186,"M")</f>
        <v>1</v>
      </c>
      <c r="K186" s="8" t="str">
        <f aca="false">IF(I186=0,"Aurigo-only",IF(I186=1,"Single source",IF(I186=2,"Two sources",IF(I186&lt;=4,"Common (3-4)","Broad (5+)"))))</f>
        <v>Single source</v>
      </c>
      <c r="L186" s="8" t="str">
        <f aca="false">IF(J186&gt;=3,"Tier 1: Must in 3+ sources",IF(J186=2,"Tier 2: Must in 2 sources",IF(J186=1,"Tier 3: Must in 1 source",IF(COUNTIF(M186:R186,"S")&gt;0,"Tier 4: Should only",IF(COUNTIF(M186:R186,"C")&gt;0,"Tier 5: Could only",IF(I186&gt;0,"Tier 6: stated, no priority","Aurigo-only"))))))</f>
        <v>Tier 3: Must in 1 source</v>
      </c>
      <c r="M186" s="12" t="s">
        <v>194</v>
      </c>
      <c r="N186" s="12"/>
      <c r="O186" s="12"/>
      <c r="P186" s="12"/>
      <c r="Q186" s="12"/>
      <c r="R186" s="12"/>
      <c r="S186" s="8" t="s">
        <v>1193</v>
      </c>
      <c r="T186" s="8"/>
      <c r="U186" s="8"/>
      <c r="V186" s="8" t="s">
        <v>204</v>
      </c>
      <c r="W186" s="8" t="s">
        <v>205</v>
      </c>
      <c r="X186" s="8"/>
      <c r="Y186" s="8"/>
      <c r="Z186" s="7" t="s">
        <v>135</v>
      </c>
      <c r="AA186" s="8" t="s">
        <v>136</v>
      </c>
      <c r="AB186" s="9" t="n">
        <v>312</v>
      </c>
      <c r="AC186" s="8" t="s">
        <v>995</v>
      </c>
    </row>
    <row r="187" customFormat="false" ht="49.5" hidden="false" customHeight="true" outlineLevel="0" collapsed="false">
      <c r="A187" s="12" t="s">
        <v>1194</v>
      </c>
      <c r="B187" s="8" t="s">
        <v>1047</v>
      </c>
      <c r="C187" s="8" t="s">
        <v>1172</v>
      </c>
      <c r="D187" s="8" t="s">
        <v>1173</v>
      </c>
      <c r="E187" s="8" t="s">
        <v>1195</v>
      </c>
      <c r="F187" s="8" t="s">
        <v>1196</v>
      </c>
      <c r="G187" s="8" t="s">
        <v>397</v>
      </c>
      <c r="H187" s="8" t="str">
        <f aca="false">IF(COUNTIF(M187:R187,"M")&gt;0,"Must Have",IF(COUNTIF(M187:R187,"S")&gt;0,"Should Have",IF(COUNTIF(M187:R187,"C")&gt;0,"Could Have",IF(COUNTA(M187:R187)&gt;0,"Stated – no priority","Aurigo-only (no RFP source)"))))</f>
        <v>Should Have</v>
      </c>
      <c r="I187" s="12" t="n">
        <f aca="false">COUNTA(M187:R187)</f>
        <v>1</v>
      </c>
      <c r="J187" s="12" t="n">
        <f aca="false">COUNTIF(M187:R187,"M")</f>
        <v>0</v>
      </c>
      <c r="K187" s="8" t="str">
        <f aca="false">IF(I187=0,"Aurigo-only",IF(I187=1,"Single source",IF(I187=2,"Two sources",IF(I187&lt;=4,"Common (3-4)","Broad (5+)"))))</f>
        <v>Single source</v>
      </c>
      <c r="L187" s="8" t="str">
        <f aca="false">IF(J187&gt;=3,"Tier 1: Must in 3+ sources",IF(J187=2,"Tier 2: Must in 2 sources",IF(J187=1,"Tier 3: Must in 1 source",IF(COUNTIF(M187:R187,"S")&gt;0,"Tier 4: Should only",IF(COUNTIF(M187:R187,"C")&gt;0,"Tier 5: Could only",IF(I187&gt;0,"Tier 6: stated, no priority","Aurigo-only"))))))</f>
        <v>Tier 4: Should only</v>
      </c>
      <c r="M187" s="12" t="s">
        <v>232</v>
      </c>
      <c r="N187" s="12"/>
      <c r="O187" s="12"/>
      <c r="P187" s="12"/>
      <c r="Q187" s="12"/>
      <c r="R187" s="12"/>
      <c r="S187" s="8" t="s">
        <v>1197</v>
      </c>
      <c r="T187" s="8"/>
      <c r="U187" s="8" t="s">
        <v>1198</v>
      </c>
      <c r="V187" s="8" t="s">
        <v>204</v>
      </c>
      <c r="W187" s="8" t="s">
        <v>205</v>
      </c>
      <c r="X187" s="8"/>
      <c r="Y187" s="8" t="s">
        <v>1199</v>
      </c>
      <c r="Z187" s="7" t="s">
        <v>135</v>
      </c>
      <c r="AA187" s="8" t="s">
        <v>136</v>
      </c>
      <c r="AB187" s="9" t="n">
        <v>310</v>
      </c>
      <c r="AC187" s="8" t="s">
        <v>995</v>
      </c>
    </row>
    <row r="188" customFormat="false" ht="87" hidden="false" customHeight="true" outlineLevel="0" collapsed="false">
      <c r="A188" s="12" t="s">
        <v>1200</v>
      </c>
      <c r="B188" s="8" t="s">
        <v>1047</v>
      </c>
      <c r="C188" s="8" t="s">
        <v>1201</v>
      </c>
      <c r="D188" s="8" t="s">
        <v>1201</v>
      </c>
      <c r="E188" s="8" t="s">
        <v>1202</v>
      </c>
      <c r="F188" s="8" t="s">
        <v>1203</v>
      </c>
      <c r="G188" s="8" t="s">
        <v>193</v>
      </c>
      <c r="H188" s="8" t="str">
        <f aca="false">IF(COUNTIF(M188:R188,"M")&gt;0,"Must Have",IF(COUNTIF(M188:R188,"S")&gt;0,"Should Have",IF(COUNTIF(M188:R188,"C")&gt;0,"Could Have",IF(COUNTA(M188:R188)&gt;0,"Stated – no priority","Aurigo-only (no RFP source)"))))</f>
        <v>Must Have</v>
      </c>
      <c r="I188" s="12" t="n">
        <f aca="false">COUNTA(M188:R188)</f>
        <v>3</v>
      </c>
      <c r="J188" s="12" t="n">
        <f aca="false">COUNTIF(M188:R188,"M")</f>
        <v>3</v>
      </c>
      <c r="K188" s="8" t="str">
        <f aca="false">IF(I188=0,"Aurigo-only",IF(I188=1,"Single source",IF(I188=2,"Two sources",IF(I188&lt;=4,"Common (3-4)","Broad (5+)"))))</f>
        <v>Common (3-4)</v>
      </c>
      <c r="L188" s="8" t="str">
        <f aca="false">IF(J188&gt;=3,"Tier 1: Must in 3+ sources",IF(J188=2,"Tier 2: Must in 2 sources",IF(J188=1,"Tier 3: Must in 1 source",IF(COUNTIF(M188:R188,"S")&gt;0,"Tier 4: Should only",IF(COUNTIF(M188:R188,"C")&gt;0,"Tier 5: Could only",IF(I188&gt;0,"Tier 6: stated, no priority","Aurigo-only"))))))</f>
        <v>Tier 1: Must in 3+ sources</v>
      </c>
      <c r="M188" s="12" t="s">
        <v>194</v>
      </c>
      <c r="N188" s="12" t="s">
        <v>194</v>
      </c>
      <c r="O188" s="12"/>
      <c r="P188" s="12"/>
      <c r="Q188" s="12" t="s">
        <v>194</v>
      </c>
      <c r="R188" s="12"/>
      <c r="S188" s="8" t="s">
        <v>1204</v>
      </c>
      <c r="T188" s="8"/>
      <c r="U188" s="8"/>
      <c r="V188" s="8" t="s">
        <v>204</v>
      </c>
      <c r="W188" s="8" t="s">
        <v>205</v>
      </c>
      <c r="X188" s="8"/>
      <c r="Y188" s="8"/>
      <c r="Z188" s="7" t="s">
        <v>77</v>
      </c>
      <c r="AA188" s="8" t="s">
        <v>78</v>
      </c>
      <c r="AB188" s="9" t="n">
        <v>173</v>
      </c>
      <c r="AC188" s="8" t="s">
        <v>217</v>
      </c>
    </row>
    <row r="189" customFormat="false" ht="49.5" hidden="false" customHeight="true" outlineLevel="0" collapsed="false">
      <c r="A189" s="12" t="s">
        <v>1205</v>
      </c>
      <c r="B189" s="8" t="s">
        <v>1047</v>
      </c>
      <c r="C189" s="8" t="s">
        <v>1201</v>
      </c>
      <c r="D189" s="8" t="s">
        <v>1201</v>
      </c>
      <c r="E189" s="8" t="s">
        <v>1206</v>
      </c>
      <c r="F189" s="8" t="s">
        <v>1207</v>
      </c>
      <c r="G189" s="8" t="s">
        <v>193</v>
      </c>
      <c r="H189" s="8" t="str">
        <f aca="false">IF(COUNTIF(M189:R189,"M")&gt;0,"Must Have",IF(COUNTIF(M189:R189,"S")&gt;0,"Should Have",IF(COUNTIF(M189:R189,"C")&gt;0,"Could Have",IF(COUNTA(M189:R189)&gt;0,"Stated – no priority","Aurigo-only (no RFP source)"))))</f>
        <v>Must Have</v>
      </c>
      <c r="I189" s="12" t="n">
        <f aca="false">COUNTA(M189:R189)</f>
        <v>2</v>
      </c>
      <c r="J189" s="12" t="n">
        <f aca="false">COUNTIF(M189:R189,"M")</f>
        <v>2</v>
      </c>
      <c r="K189" s="8" t="str">
        <f aca="false">IF(I189=0,"Aurigo-only",IF(I189=1,"Single source",IF(I189=2,"Two sources",IF(I189&lt;=4,"Common (3-4)","Broad (5+)"))))</f>
        <v>Two sources</v>
      </c>
      <c r="L189" s="8" t="str">
        <f aca="false">IF(J189&gt;=3,"Tier 1: Must in 3+ sources",IF(J189=2,"Tier 2: Must in 2 sources",IF(J189=1,"Tier 3: Must in 1 source",IF(COUNTIF(M189:R189,"S")&gt;0,"Tier 4: Should only",IF(COUNTIF(M189:R189,"C")&gt;0,"Tier 5: Could only",IF(I189&gt;0,"Tier 6: stated, no priority","Aurigo-only"))))))</f>
        <v>Tier 2: Must in 2 sources</v>
      </c>
      <c r="M189" s="12" t="s">
        <v>194</v>
      </c>
      <c r="N189" s="12" t="s">
        <v>194</v>
      </c>
      <c r="O189" s="12"/>
      <c r="P189" s="12"/>
      <c r="Q189" s="12"/>
      <c r="R189" s="12"/>
      <c r="S189" s="8" t="s">
        <v>1208</v>
      </c>
      <c r="T189" s="8"/>
      <c r="U189" s="8"/>
      <c r="V189" s="8" t="s">
        <v>204</v>
      </c>
      <c r="W189" s="8" t="s">
        <v>205</v>
      </c>
      <c r="X189" s="8"/>
      <c r="Y189" s="8"/>
      <c r="Z189" s="7" t="s">
        <v>77</v>
      </c>
      <c r="AA189" s="8" t="s">
        <v>78</v>
      </c>
      <c r="AB189" s="9" t="n">
        <v>175</v>
      </c>
      <c r="AC189" s="8" t="s">
        <v>1200</v>
      </c>
    </row>
    <row r="190" customFormat="false" ht="24.75" hidden="false" customHeight="true" outlineLevel="0" collapsed="false">
      <c r="A190" s="12" t="s">
        <v>1209</v>
      </c>
      <c r="B190" s="8" t="s">
        <v>1047</v>
      </c>
      <c r="C190" s="8" t="s">
        <v>1201</v>
      </c>
      <c r="D190" s="8" t="s">
        <v>1201</v>
      </c>
      <c r="E190" s="8" t="s">
        <v>1210</v>
      </c>
      <c r="F190" s="8" t="s">
        <v>1211</v>
      </c>
      <c r="G190" s="8" t="s">
        <v>193</v>
      </c>
      <c r="H190" s="8" t="str">
        <f aca="false">IF(COUNTIF(M190:R190,"M")&gt;0,"Must Have",IF(COUNTIF(M190:R190,"S")&gt;0,"Should Have",IF(COUNTIF(M190:R190,"C")&gt;0,"Could Have",IF(COUNTA(M190:R190)&gt;0,"Stated – no priority","Aurigo-only (no RFP source)"))))</f>
        <v>Must Have</v>
      </c>
      <c r="I190" s="12" t="n">
        <f aca="false">COUNTA(M190:R190)</f>
        <v>1</v>
      </c>
      <c r="J190" s="12" t="n">
        <f aca="false">COUNTIF(M190:R190,"M")</f>
        <v>1</v>
      </c>
      <c r="K190" s="8" t="str">
        <f aca="false">IF(I190=0,"Aurigo-only",IF(I190=1,"Single source",IF(I190=2,"Two sources",IF(I190&lt;=4,"Common (3-4)","Broad (5+)"))))</f>
        <v>Single source</v>
      </c>
      <c r="L190" s="8" t="str">
        <f aca="false">IF(J190&gt;=3,"Tier 1: Must in 3+ sources",IF(J190=2,"Tier 2: Must in 2 sources",IF(J190=1,"Tier 3: Must in 1 source",IF(COUNTIF(M190:R190,"S")&gt;0,"Tier 4: Should only",IF(COUNTIF(M190:R190,"C")&gt;0,"Tier 5: Could only",IF(I190&gt;0,"Tier 6: stated, no priority","Aurigo-only"))))))</f>
        <v>Tier 3: Must in 1 source</v>
      </c>
      <c r="M190" s="12" t="s">
        <v>194</v>
      </c>
      <c r="N190" s="12"/>
      <c r="O190" s="12"/>
      <c r="P190" s="12"/>
      <c r="Q190" s="12"/>
      <c r="R190" s="12"/>
      <c r="S190" s="8" t="s">
        <v>1212</v>
      </c>
      <c r="T190" s="8"/>
      <c r="U190" s="8"/>
      <c r="V190" s="8" t="s">
        <v>204</v>
      </c>
      <c r="W190" s="8" t="s">
        <v>205</v>
      </c>
      <c r="X190" s="8"/>
      <c r="Y190" s="8"/>
      <c r="Z190" s="7" t="s">
        <v>77</v>
      </c>
      <c r="AA190" s="8" t="s">
        <v>78</v>
      </c>
      <c r="AB190" s="9" t="n">
        <v>176</v>
      </c>
      <c r="AC190" s="8" t="s">
        <v>1200</v>
      </c>
    </row>
    <row r="191" customFormat="false" ht="99.75" hidden="false" customHeight="true" outlineLevel="0" collapsed="false">
      <c r="A191" s="12" t="s">
        <v>1213</v>
      </c>
      <c r="B191" s="8" t="s">
        <v>1047</v>
      </c>
      <c r="C191" s="8" t="s">
        <v>1214</v>
      </c>
      <c r="D191" s="8" t="s">
        <v>1215</v>
      </c>
      <c r="E191" s="8" t="s">
        <v>1216</v>
      </c>
      <c r="F191" s="8" t="s">
        <v>1217</v>
      </c>
      <c r="G191" s="8" t="s">
        <v>370</v>
      </c>
      <c r="H191" s="8" t="str">
        <f aca="false">IF(COUNTIF(M191:R191,"M")&gt;0,"Must Have",IF(COUNTIF(M191:R191,"S")&gt;0,"Should Have",IF(COUNTIF(M191:R191,"C")&gt;0,"Could Have",IF(COUNTA(M191:R191)&gt;0,"Stated – no priority","Aurigo-only (no RFP source)"))))</f>
        <v>Must Have</v>
      </c>
      <c r="I191" s="12" t="n">
        <f aca="false">COUNTA(M191:R191)</f>
        <v>4</v>
      </c>
      <c r="J191" s="12" t="n">
        <f aca="false">COUNTIF(M191:R191,"M")</f>
        <v>4</v>
      </c>
      <c r="K191" s="8" t="str">
        <f aca="false">IF(I191=0,"Aurigo-only",IF(I191=1,"Single source",IF(I191=2,"Two sources",IF(I191&lt;=4,"Common (3-4)","Broad (5+)"))))</f>
        <v>Common (3-4)</v>
      </c>
      <c r="L191" s="8" t="str">
        <f aca="false">IF(J191&gt;=3,"Tier 1: Must in 3+ sources",IF(J191=2,"Tier 2: Must in 2 sources",IF(J191=1,"Tier 3: Must in 1 source",IF(COUNTIF(M191:R191,"S")&gt;0,"Tier 4: Should only",IF(COUNTIF(M191:R191,"C")&gt;0,"Tier 5: Could only",IF(I191&gt;0,"Tier 6: stated, no priority","Aurigo-only"))))))</f>
        <v>Tier 1: Must in 3+ sources</v>
      </c>
      <c r="M191" s="12" t="s">
        <v>194</v>
      </c>
      <c r="N191" s="12" t="s">
        <v>194</v>
      </c>
      <c r="O191" s="12" t="s">
        <v>194</v>
      </c>
      <c r="P191" s="12"/>
      <c r="Q191" s="12"/>
      <c r="R191" s="12" t="s">
        <v>194</v>
      </c>
      <c r="S191" s="8" t="s">
        <v>1218</v>
      </c>
      <c r="T191" s="8"/>
      <c r="U191" s="8"/>
      <c r="V191" s="8" t="s">
        <v>197</v>
      </c>
      <c r="W191" s="8" t="s">
        <v>1219</v>
      </c>
      <c r="X191" s="8"/>
      <c r="Y191" s="8" t="s">
        <v>1220</v>
      </c>
      <c r="Z191" s="7" t="s">
        <v>77</v>
      </c>
      <c r="AA191" s="8" t="s">
        <v>78</v>
      </c>
      <c r="AB191" s="9" t="n">
        <v>174</v>
      </c>
      <c r="AC191" s="8" t="s">
        <v>1221</v>
      </c>
    </row>
    <row r="192" customFormat="false" ht="112.5" hidden="false" customHeight="true" outlineLevel="0" collapsed="false">
      <c r="A192" s="12" t="s">
        <v>988</v>
      </c>
      <c r="B192" s="8" t="s">
        <v>1047</v>
      </c>
      <c r="C192" s="8" t="s">
        <v>1214</v>
      </c>
      <c r="D192" s="8" t="s">
        <v>370</v>
      </c>
      <c r="E192" s="8" t="s">
        <v>1222</v>
      </c>
      <c r="F192" s="8" t="s">
        <v>1223</v>
      </c>
      <c r="G192" s="8" t="s">
        <v>370</v>
      </c>
      <c r="H192" s="8" t="str">
        <f aca="false">IF(COUNTIF(M192:R192,"M")&gt;0,"Must Have",IF(COUNTIF(M192:R192,"S")&gt;0,"Should Have",IF(COUNTIF(M192:R192,"C")&gt;0,"Could Have",IF(COUNTA(M192:R192)&gt;0,"Stated – no priority","Aurigo-only (no RFP source)"))))</f>
        <v>Must Have</v>
      </c>
      <c r="I192" s="12" t="n">
        <f aca="false">COUNTA(M192:R192)</f>
        <v>5</v>
      </c>
      <c r="J192" s="12" t="n">
        <f aca="false">COUNTIF(M192:R192,"M")</f>
        <v>5</v>
      </c>
      <c r="K192" s="8" t="str">
        <f aca="false">IF(I192=0,"Aurigo-only",IF(I192=1,"Single source",IF(I192=2,"Two sources",IF(I192&lt;=4,"Common (3-4)","Broad (5+)"))))</f>
        <v>Broad (5+)</v>
      </c>
      <c r="L192" s="8" t="str">
        <f aca="false">IF(J192&gt;=3,"Tier 1: Must in 3+ sources",IF(J192=2,"Tier 2: Must in 2 sources",IF(J192=1,"Tier 3: Must in 1 source",IF(COUNTIF(M192:R192,"S")&gt;0,"Tier 4: Should only",IF(COUNTIF(M192:R192,"C")&gt;0,"Tier 5: Could only",IF(I192&gt;0,"Tier 6: stated, no priority","Aurigo-only"))))))</f>
        <v>Tier 1: Must in 3+ sources</v>
      </c>
      <c r="M192" s="12" t="s">
        <v>194</v>
      </c>
      <c r="N192" s="12" t="s">
        <v>194</v>
      </c>
      <c r="O192" s="12" t="s">
        <v>194</v>
      </c>
      <c r="P192" s="12"/>
      <c r="Q192" s="12" t="s">
        <v>194</v>
      </c>
      <c r="R192" s="12" t="s">
        <v>194</v>
      </c>
      <c r="S192" s="8" t="s">
        <v>1224</v>
      </c>
      <c r="T192" s="8"/>
      <c r="U192" s="8"/>
      <c r="V192" s="8" t="s">
        <v>197</v>
      </c>
      <c r="W192" s="8" t="s">
        <v>1225</v>
      </c>
      <c r="X192" s="8"/>
      <c r="Y192" s="8" t="s">
        <v>934</v>
      </c>
      <c r="Z192" s="7" t="s">
        <v>77</v>
      </c>
      <c r="AA192" s="8" t="s">
        <v>78</v>
      </c>
      <c r="AB192" s="9" t="n">
        <v>177</v>
      </c>
      <c r="AC192" s="8" t="s">
        <v>1213</v>
      </c>
    </row>
    <row r="193" customFormat="false" ht="37.5" hidden="false" customHeight="true" outlineLevel="0" collapsed="false">
      <c r="A193" s="12" t="s">
        <v>1226</v>
      </c>
      <c r="B193" s="8" t="s">
        <v>1047</v>
      </c>
      <c r="C193" s="8" t="s">
        <v>1214</v>
      </c>
      <c r="D193" s="8" t="s">
        <v>370</v>
      </c>
      <c r="E193" s="8" t="s">
        <v>1227</v>
      </c>
      <c r="F193" s="8" t="s">
        <v>1228</v>
      </c>
      <c r="G193" s="8" t="s">
        <v>370</v>
      </c>
      <c r="H193" s="8" t="str">
        <f aca="false">IF(COUNTIF(M193:R193,"M")&gt;0,"Must Have",IF(COUNTIF(M193:R193,"S")&gt;0,"Should Have",IF(COUNTIF(M193:R193,"C")&gt;0,"Could Have",IF(COUNTA(M193:R193)&gt;0,"Stated – no priority","Aurigo-only (no RFP source)"))))</f>
        <v>Must Have</v>
      </c>
      <c r="I193" s="12" t="n">
        <f aca="false">COUNTA(M193:R193)</f>
        <v>1</v>
      </c>
      <c r="J193" s="12" t="n">
        <f aca="false">COUNTIF(M193:R193,"M")</f>
        <v>1</v>
      </c>
      <c r="K193" s="8" t="str">
        <f aca="false">IF(I193=0,"Aurigo-only",IF(I193=1,"Single source",IF(I193=2,"Two sources",IF(I193&lt;=4,"Common (3-4)","Broad (5+)"))))</f>
        <v>Single source</v>
      </c>
      <c r="L193" s="8" t="str">
        <f aca="false">IF(J193&gt;=3,"Tier 1: Must in 3+ sources",IF(J193=2,"Tier 2: Must in 2 sources",IF(J193=1,"Tier 3: Must in 1 source",IF(COUNTIF(M193:R193,"S")&gt;0,"Tier 4: Should only",IF(COUNTIF(M193:R193,"C")&gt;0,"Tier 5: Could only",IF(I193&gt;0,"Tier 6: stated, no priority","Aurigo-only"))))))</f>
        <v>Tier 3: Must in 1 source</v>
      </c>
      <c r="M193" s="12"/>
      <c r="N193" s="12" t="s">
        <v>194</v>
      </c>
      <c r="O193" s="12"/>
      <c r="P193" s="12"/>
      <c r="Q193" s="12"/>
      <c r="R193" s="12"/>
      <c r="S193" s="8" t="s">
        <v>1229</v>
      </c>
      <c r="T193" s="8"/>
      <c r="U193" s="8"/>
      <c r="V193" s="8" t="s">
        <v>204</v>
      </c>
      <c r="W193" s="8" t="s">
        <v>205</v>
      </c>
      <c r="X193" s="8"/>
      <c r="Y193" s="8"/>
      <c r="Z193" s="7" t="s">
        <v>126</v>
      </c>
      <c r="AA193" s="8" t="s">
        <v>127</v>
      </c>
      <c r="AB193" s="9" t="n">
        <v>291</v>
      </c>
      <c r="AC193" s="8" t="s">
        <v>988</v>
      </c>
    </row>
    <row r="194" customFormat="false" ht="75" hidden="false" customHeight="true" outlineLevel="0" collapsed="false">
      <c r="A194" s="12" t="s">
        <v>1230</v>
      </c>
      <c r="B194" s="8" t="s">
        <v>1047</v>
      </c>
      <c r="C194" s="8" t="s">
        <v>1214</v>
      </c>
      <c r="D194" s="8" t="s">
        <v>370</v>
      </c>
      <c r="E194" s="8" t="s">
        <v>1231</v>
      </c>
      <c r="F194" s="8" t="s">
        <v>1232</v>
      </c>
      <c r="G194" s="8" t="s">
        <v>370</v>
      </c>
      <c r="H194" s="8" t="str">
        <f aca="false">IF(COUNTIF(M194:R194,"M")&gt;0,"Must Have",IF(COUNTIF(M194:R194,"S")&gt;0,"Should Have",IF(COUNTIF(M194:R194,"C")&gt;0,"Could Have",IF(COUNTA(M194:R194)&gt;0,"Stated – no priority","Aurigo-only (no RFP source)"))))</f>
        <v>Must Have</v>
      </c>
      <c r="I194" s="12" t="n">
        <f aca="false">COUNTA(M194:R194)</f>
        <v>4</v>
      </c>
      <c r="J194" s="12" t="n">
        <f aca="false">COUNTIF(M194:R194,"M")</f>
        <v>4</v>
      </c>
      <c r="K194" s="8" t="str">
        <f aca="false">IF(I194=0,"Aurigo-only",IF(I194=1,"Single source",IF(I194=2,"Two sources",IF(I194&lt;=4,"Common (3-4)","Broad (5+)"))))</f>
        <v>Common (3-4)</v>
      </c>
      <c r="L194" s="8" t="str">
        <f aca="false">IF(J194&gt;=3,"Tier 1: Must in 3+ sources",IF(J194=2,"Tier 2: Must in 2 sources",IF(J194=1,"Tier 3: Must in 1 source",IF(COUNTIF(M194:R194,"S")&gt;0,"Tier 4: Should only",IF(COUNTIF(M194:R194,"C")&gt;0,"Tier 5: Could only",IF(I194&gt;0,"Tier 6: stated, no priority","Aurigo-only"))))))</f>
        <v>Tier 1: Must in 3+ sources</v>
      </c>
      <c r="M194" s="12" t="s">
        <v>194</v>
      </c>
      <c r="N194" s="12" t="s">
        <v>194</v>
      </c>
      <c r="O194" s="12" t="s">
        <v>194</v>
      </c>
      <c r="P194" s="12"/>
      <c r="Q194" s="12" t="s">
        <v>194</v>
      </c>
      <c r="R194" s="12"/>
      <c r="S194" s="8" t="s">
        <v>1233</v>
      </c>
      <c r="T194" s="8"/>
      <c r="U194" s="8"/>
      <c r="V194" s="8" t="s">
        <v>204</v>
      </c>
      <c r="W194" s="8" t="s">
        <v>205</v>
      </c>
      <c r="X194" s="8"/>
      <c r="Y194" s="8"/>
      <c r="Z194" s="7" t="s">
        <v>77</v>
      </c>
      <c r="AA194" s="8" t="s">
        <v>78</v>
      </c>
      <c r="AB194" s="9" t="n">
        <v>178</v>
      </c>
      <c r="AC194" s="8" t="s">
        <v>988</v>
      </c>
    </row>
    <row r="195" customFormat="false" ht="24.75" hidden="false" customHeight="true" outlineLevel="0" collapsed="false">
      <c r="A195" s="12" t="s">
        <v>1234</v>
      </c>
      <c r="B195" s="8" t="s">
        <v>1047</v>
      </c>
      <c r="C195" s="8" t="s">
        <v>1214</v>
      </c>
      <c r="D195" s="8" t="s">
        <v>370</v>
      </c>
      <c r="E195" s="8" t="s">
        <v>1235</v>
      </c>
      <c r="F195" s="8" t="s">
        <v>1236</v>
      </c>
      <c r="G195" s="8" t="s">
        <v>370</v>
      </c>
      <c r="H195" s="8" t="str">
        <f aca="false">IF(COUNTIF(M195:R195,"M")&gt;0,"Must Have",IF(COUNTIF(M195:R195,"S")&gt;0,"Should Have",IF(COUNTIF(M195:R195,"C")&gt;0,"Could Have",IF(COUNTA(M195:R195)&gt;0,"Stated – no priority","Aurigo-only (no RFP source)"))))</f>
        <v>Must Have</v>
      </c>
      <c r="I195" s="12" t="n">
        <f aca="false">COUNTA(M195:R195)</f>
        <v>1</v>
      </c>
      <c r="J195" s="12" t="n">
        <f aca="false">COUNTIF(M195:R195,"M")</f>
        <v>1</v>
      </c>
      <c r="K195" s="8" t="str">
        <f aca="false">IF(I195=0,"Aurigo-only",IF(I195=1,"Single source",IF(I195=2,"Two sources",IF(I195&lt;=4,"Common (3-4)","Broad (5+)"))))</f>
        <v>Single source</v>
      </c>
      <c r="L195" s="8" t="str">
        <f aca="false">IF(J195&gt;=3,"Tier 1: Must in 3+ sources",IF(J195=2,"Tier 2: Must in 2 sources",IF(J195=1,"Tier 3: Must in 1 source",IF(COUNTIF(M195:R195,"S")&gt;0,"Tier 4: Should only",IF(COUNTIF(M195:R195,"C")&gt;0,"Tier 5: Could only",IF(I195&gt;0,"Tier 6: stated, no priority","Aurigo-only"))))))</f>
        <v>Tier 3: Must in 1 source</v>
      </c>
      <c r="M195" s="12"/>
      <c r="N195" s="12" t="s">
        <v>194</v>
      </c>
      <c r="O195" s="12"/>
      <c r="P195" s="12"/>
      <c r="Q195" s="12"/>
      <c r="R195" s="12"/>
      <c r="S195" s="8" t="s">
        <v>1237</v>
      </c>
      <c r="T195" s="8"/>
      <c r="U195" s="8"/>
      <c r="V195" s="8" t="s">
        <v>204</v>
      </c>
      <c r="W195" s="8" t="s">
        <v>205</v>
      </c>
      <c r="X195" s="8"/>
      <c r="Y195" s="8"/>
      <c r="Z195" s="7" t="s">
        <v>126</v>
      </c>
      <c r="AA195" s="8" t="s">
        <v>127</v>
      </c>
      <c r="AB195" s="9" t="n">
        <v>292</v>
      </c>
      <c r="AC195" s="8" t="s">
        <v>1213</v>
      </c>
    </row>
    <row r="196" customFormat="false" ht="62.25" hidden="false" customHeight="true" outlineLevel="0" collapsed="false">
      <c r="A196" s="12" t="s">
        <v>1238</v>
      </c>
      <c r="B196" s="8" t="s">
        <v>1047</v>
      </c>
      <c r="C196" s="8" t="s">
        <v>1214</v>
      </c>
      <c r="D196" s="8" t="s">
        <v>370</v>
      </c>
      <c r="E196" s="8" t="s">
        <v>1239</v>
      </c>
      <c r="F196" s="8" t="s">
        <v>1240</v>
      </c>
      <c r="G196" s="8" t="s">
        <v>370</v>
      </c>
      <c r="H196" s="8" t="str">
        <f aca="false">IF(COUNTIF(M196:R196,"M")&gt;0,"Must Have",IF(COUNTIF(M196:R196,"S")&gt;0,"Should Have",IF(COUNTIF(M196:R196,"C")&gt;0,"Could Have",IF(COUNTA(M196:R196)&gt;0,"Stated – no priority","Aurigo-only (no RFP source)"))))</f>
        <v>Must Have</v>
      </c>
      <c r="I196" s="12" t="n">
        <f aca="false">COUNTA(M196:R196)</f>
        <v>3</v>
      </c>
      <c r="J196" s="12" t="n">
        <f aca="false">COUNTIF(M196:R196,"M")</f>
        <v>3</v>
      </c>
      <c r="K196" s="8" t="str">
        <f aca="false">IF(I196=0,"Aurigo-only",IF(I196=1,"Single source",IF(I196=2,"Two sources",IF(I196&lt;=4,"Common (3-4)","Broad (5+)"))))</f>
        <v>Common (3-4)</v>
      </c>
      <c r="L196" s="8" t="str">
        <f aca="false">IF(J196&gt;=3,"Tier 1: Must in 3+ sources",IF(J196=2,"Tier 2: Must in 2 sources",IF(J196=1,"Tier 3: Must in 1 source",IF(COUNTIF(M196:R196,"S")&gt;0,"Tier 4: Should only",IF(COUNTIF(M196:R196,"C")&gt;0,"Tier 5: Could only",IF(I196&gt;0,"Tier 6: stated, no priority","Aurigo-only"))))))</f>
        <v>Tier 1: Must in 3+ sources</v>
      </c>
      <c r="M196" s="12" t="s">
        <v>194</v>
      </c>
      <c r="N196" s="12" t="s">
        <v>194</v>
      </c>
      <c r="O196" s="12" t="s">
        <v>194</v>
      </c>
      <c r="P196" s="12"/>
      <c r="Q196" s="12"/>
      <c r="R196" s="12"/>
      <c r="S196" s="8" t="s">
        <v>1241</v>
      </c>
      <c r="T196" s="8"/>
      <c r="U196" s="8"/>
      <c r="V196" s="8" t="s">
        <v>204</v>
      </c>
      <c r="W196" s="8" t="s">
        <v>205</v>
      </c>
      <c r="X196" s="8"/>
      <c r="Y196" s="8"/>
      <c r="Z196" s="7" t="s">
        <v>126</v>
      </c>
      <c r="AA196" s="8" t="s">
        <v>127</v>
      </c>
      <c r="AB196" s="9" t="n">
        <v>290</v>
      </c>
      <c r="AC196" s="8" t="s">
        <v>1213</v>
      </c>
    </row>
    <row r="197" customFormat="false" ht="37.5" hidden="false" customHeight="true" outlineLevel="0" collapsed="false">
      <c r="A197" s="12" t="s">
        <v>1242</v>
      </c>
      <c r="B197" s="8" t="s">
        <v>1047</v>
      </c>
      <c r="C197" s="8" t="s">
        <v>1214</v>
      </c>
      <c r="D197" s="8" t="s">
        <v>1243</v>
      </c>
      <c r="E197" s="8" t="s">
        <v>1244</v>
      </c>
      <c r="F197" s="8" t="s">
        <v>1245</v>
      </c>
      <c r="G197" s="8" t="s">
        <v>370</v>
      </c>
      <c r="H197" s="8" t="str">
        <f aca="false">IF(COUNTIF(M197:R197,"M")&gt;0,"Must Have",IF(COUNTIF(M197:R197,"S")&gt;0,"Should Have",IF(COUNTIF(M197:R197,"C")&gt;0,"Could Have",IF(COUNTA(M197:R197)&gt;0,"Stated – no priority","Aurigo-only (no RFP source)"))))</f>
        <v>Must Have</v>
      </c>
      <c r="I197" s="12" t="n">
        <f aca="false">COUNTA(M197:R197)</f>
        <v>1</v>
      </c>
      <c r="J197" s="12" t="n">
        <f aca="false">COUNTIF(M197:R197,"M")</f>
        <v>1</v>
      </c>
      <c r="K197" s="8" t="str">
        <f aca="false">IF(I197=0,"Aurigo-only",IF(I197=1,"Single source",IF(I197=2,"Two sources",IF(I197&lt;=4,"Common (3-4)","Broad (5+)"))))</f>
        <v>Single source</v>
      </c>
      <c r="L197" s="8" t="str">
        <f aca="false">IF(J197&gt;=3,"Tier 1: Must in 3+ sources",IF(J197=2,"Tier 2: Must in 2 sources",IF(J197=1,"Tier 3: Must in 1 source",IF(COUNTIF(M197:R197,"S")&gt;0,"Tier 4: Should only",IF(COUNTIF(M197:R197,"C")&gt;0,"Tier 5: Could only",IF(I197&gt;0,"Tier 6: stated, no priority","Aurigo-only"))))))</f>
        <v>Tier 3: Must in 1 source</v>
      </c>
      <c r="M197" s="12"/>
      <c r="N197" s="12" t="s">
        <v>194</v>
      </c>
      <c r="O197" s="12"/>
      <c r="P197" s="12"/>
      <c r="Q197" s="12"/>
      <c r="R197" s="12"/>
      <c r="S197" s="8" t="s">
        <v>1246</v>
      </c>
      <c r="T197" s="8"/>
      <c r="U197" s="8"/>
      <c r="V197" s="8" t="s">
        <v>204</v>
      </c>
      <c r="W197" s="8" t="s">
        <v>205</v>
      </c>
      <c r="X197" s="8" t="s">
        <v>1247</v>
      </c>
      <c r="Y197" s="8"/>
      <c r="Z197" s="7" t="s">
        <v>126</v>
      </c>
      <c r="AA197" s="8" t="s">
        <v>127</v>
      </c>
      <c r="AB197" s="9" t="n">
        <v>293</v>
      </c>
      <c r="AC197" s="8" t="s">
        <v>1238</v>
      </c>
    </row>
    <row r="198" customFormat="false" ht="49.5" hidden="false" customHeight="true" outlineLevel="0" collapsed="false">
      <c r="A198" s="12" t="s">
        <v>1248</v>
      </c>
      <c r="B198" s="8" t="s">
        <v>1047</v>
      </c>
      <c r="C198" s="8" t="s">
        <v>1214</v>
      </c>
      <c r="D198" s="8" t="s">
        <v>370</v>
      </c>
      <c r="E198" s="8" t="s">
        <v>1249</v>
      </c>
      <c r="F198" s="8" t="s">
        <v>1250</v>
      </c>
      <c r="G198" s="8" t="s">
        <v>370</v>
      </c>
      <c r="H198" s="8" t="str">
        <f aca="false">IF(COUNTIF(M198:R198,"M")&gt;0,"Must Have",IF(COUNTIF(M198:R198,"S")&gt;0,"Should Have",IF(COUNTIF(M198:R198,"C")&gt;0,"Could Have",IF(COUNTA(M198:R198)&gt;0,"Stated – no priority","Aurigo-only (no RFP source)"))))</f>
        <v>Must Have</v>
      </c>
      <c r="I198" s="12" t="n">
        <f aca="false">COUNTA(M198:R198)</f>
        <v>2</v>
      </c>
      <c r="J198" s="12" t="n">
        <f aca="false">COUNTIF(M198:R198,"M")</f>
        <v>2</v>
      </c>
      <c r="K198" s="8" t="str">
        <f aca="false">IF(I198=0,"Aurigo-only",IF(I198=1,"Single source",IF(I198=2,"Two sources",IF(I198&lt;=4,"Common (3-4)","Broad (5+)"))))</f>
        <v>Two sources</v>
      </c>
      <c r="L198" s="8" t="str">
        <f aca="false">IF(J198&gt;=3,"Tier 1: Must in 3+ sources",IF(J198=2,"Tier 2: Must in 2 sources",IF(J198=1,"Tier 3: Must in 1 source",IF(COUNTIF(M198:R198,"S")&gt;0,"Tier 4: Should only",IF(COUNTIF(M198:R198,"C")&gt;0,"Tier 5: Could only",IF(I198&gt;0,"Tier 6: stated, no priority","Aurigo-only"))))))</f>
        <v>Tier 2: Must in 2 sources</v>
      </c>
      <c r="M198" s="12" t="s">
        <v>194</v>
      </c>
      <c r="N198" s="12" t="s">
        <v>194</v>
      </c>
      <c r="O198" s="12"/>
      <c r="P198" s="12"/>
      <c r="Q198" s="12"/>
      <c r="R198" s="12"/>
      <c r="S198" s="8" t="s">
        <v>1251</v>
      </c>
      <c r="T198" s="8"/>
      <c r="U198" s="8"/>
      <c r="V198" s="8" t="s">
        <v>227</v>
      </c>
      <c r="W198" s="8" t="s">
        <v>1252</v>
      </c>
      <c r="X198" s="8"/>
      <c r="Y198" s="8"/>
      <c r="Z198" s="7" t="s">
        <v>77</v>
      </c>
      <c r="AA198" s="8" t="s">
        <v>78</v>
      </c>
      <c r="AB198" s="9" t="n">
        <v>180</v>
      </c>
      <c r="AC198" s="8" t="s">
        <v>1253</v>
      </c>
    </row>
    <row r="199" customFormat="false" ht="49.5" hidden="false" customHeight="true" outlineLevel="0" collapsed="false">
      <c r="A199" s="12" t="s">
        <v>1254</v>
      </c>
      <c r="B199" s="8" t="s">
        <v>1047</v>
      </c>
      <c r="C199" s="8" t="s">
        <v>1214</v>
      </c>
      <c r="D199" s="8" t="s">
        <v>1255</v>
      </c>
      <c r="E199" s="8" t="s">
        <v>1256</v>
      </c>
      <c r="F199" s="8" t="s">
        <v>1257</v>
      </c>
      <c r="G199" s="8" t="s">
        <v>370</v>
      </c>
      <c r="H199" s="8" t="str">
        <f aca="false">IF(COUNTIF(M199:R199,"M")&gt;0,"Must Have",IF(COUNTIF(M199:R199,"S")&gt;0,"Should Have",IF(COUNTIF(M199:R199,"C")&gt;0,"Could Have",IF(COUNTA(M199:R199)&gt;0,"Stated – no priority","Aurigo-only (no RFP source)"))))</f>
        <v>Must Have</v>
      </c>
      <c r="I199" s="12" t="n">
        <f aca="false">COUNTA(M199:R199)</f>
        <v>2</v>
      </c>
      <c r="J199" s="12" t="n">
        <f aca="false">COUNTIF(M199:R199,"M")</f>
        <v>2</v>
      </c>
      <c r="K199" s="8" t="str">
        <f aca="false">IF(I199=0,"Aurigo-only",IF(I199=1,"Single source",IF(I199=2,"Two sources",IF(I199&lt;=4,"Common (3-4)","Broad (5+)"))))</f>
        <v>Two sources</v>
      </c>
      <c r="L199" s="8" t="str">
        <f aca="false">IF(J199&gt;=3,"Tier 1: Must in 3+ sources",IF(J199=2,"Tier 2: Must in 2 sources",IF(J199=1,"Tier 3: Must in 1 source",IF(COUNTIF(M199:R199,"S")&gt;0,"Tier 4: Should only",IF(COUNTIF(M199:R199,"C")&gt;0,"Tier 5: Could only",IF(I199&gt;0,"Tier 6: stated, no priority","Aurigo-only"))))))</f>
        <v>Tier 2: Must in 2 sources</v>
      </c>
      <c r="M199" s="12" t="s">
        <v>194</v>
      </c>
      <c r="N199" s="12" t="s">
        <v>194</v>
      </c>
      <c r="O199" s="12"/>
      <c r="P199" s="12"/>
      <c r="Q199" s="12"/>
      <c r="R199" s="12"/>
      <c r="S199" s="8" t="s">
        <v>1258</v>
      </c>
      <c r="T199" s="8" t="s">
        <v>1259</v>
      </c>
      <c r="U199" s="8"/>
      <c r="V199" s="8" t="s">
        <v>204</v>
      </c>
      <c r="W199" s="8" t="s">
        <v>205</v>
      </c>
      <c r="X199" s="8"/>
      <c r="Y199" s="8"/>
      <c r="Z199" s="7" t="s">
        <v>123</v>
      </c>
      <c r="AA199" s="8" t="s">
        <v>124</v>
      </c>
      <c r="AB199" s="9" t="n">
        <v>283</v>
      </c>
      <c r="AC199" s="8" t="s">
        <v>1260</v>
      </c>
    </row>
    <row r="200" customFormat="false" ht="62.25" hidden="false" customHeight="true" outlineLevel="0" collapsed="false">
      <c r="A200" s="12" t="s">
        <v>1261</v>
      </c>
      <c r="B200" s="8" t="s">
        <v>1047</v>
      </c>
      <c r="C200" s="8" t="s">
        <v>1214</v>
      </c>
      <c r="D200" s="8" t="s">
        <v>1255</v>
      </c>
      <c r="E200" s="8" t="s">
        <v>1262</v>
      </c>
      <c r="F200" s="8" t="s">
        <v>1263</v>
      </c>
      <c r="G200" s="8" t="s">
        <v>370</v>
      </c>
      <c r="H200" s="8" t="str">
        <f aca="false">IF(COUNTIF(M200:R200,"M")&gt;0,"Must Have",IF(COUNTIF(M200:R200,"S")&gt;0,"Should Have",IF(COUNTIF(M200:R200,"C")&gt;0,"Could Have",IF(COUNTA(M200:R200)&gt;0,"Stated – no priority","Aurigo-only (no RFP source)"))))</f>
        <v>Must Have</v>
      </c>
      <c r="I200" s="12" t="n">
        <f aca="false">COUNTA(M200:R200)</f>
        <v>2</v>
      </c>
      <c r="J200" s="12" t="n">
        <f aca="false">COUNTIF(M200:R200,"M")</f>
        <v>2</v>
      </c>
      <c r="K200" s="8" t="str">
        <f aca="false">IF(I200=0,"Aurigo-only",IF(I200=1,"Single source",IF(I200=2,"Two sources",IF(I200&lt;=4,"Common (3-4)","Broad (5+)"))))</f>
        <v>Two sources</v>
      </c>
      <c r="L200" s="8" t="str">
        <f aca="false">IF(J200&gt;=3,"Tier 1: Must in 3+ sources",IF(J200=2,"Tier 2: Must in 2 sources",IF(J200=1,"Tier 3: Must in 1 source",IF(COUNTIF(M200:R200,"S")&gt;0,"Tier 4: Should only",IF(COUNTIF(M200:R200,"C")&gt;0,"Tier 5: Could only",IF(I200&gt;0,"Tier 6: stated, no priority","Aurigo-only"))))))</f>
        <v>Tier 2: Must in 2 sources</v>
      </c>
      <c r="M200" s="12" t="s">
        <v>194</v>
      </c>
      <c r="N200" s="12" t="s">
        <v>194</v>
      </c>
      <c r="O200" s="12"/>
      <c r="P200" s="12"/>
      <c r="Q200" s="12"/>
      <c r="R200" s="12"/>
      <c r="S200" s="8" t="s">
        <v>1264</v>
      </c>
      <c r="T200" s="8" t="s">
        <v>1265</v>
      </c>
      <c r="U200" s="8"/>
      <c r="V200" s="8" t="s">
        <v>204</v>
      </c>
      <c r="W200" s="8" t="s">
        <v>205</v>
      </c>
      <c r="X200" s="8" t="s">
        <v>1266</v>
      </c>
      <c r="Y200" s="8"/>
      <c r="Z200" s="7" t="s">
        <v>123</v>
      </c>
      <c r="AA200" s="8" t="s">
        <v>124</v>
      </c>
      <c r="AB200" s="9" t="n">
        <v>284</v>
      </c>
      <c r="AC200" s="8" t="s">
        <v>1267</v>
      </c>
    </row>
    <row r="201" customFormat="false" ht="49.5" hidden="false" customHeight="true" outlineLevel="0" collapsed="false">
      <c r="A201" s="12" t="s">
        <v>1268</v>
      </c>
      <c r="B201" s="8" t="s">
        <v>1047</v>
      </c>
      <c r="C201" s="8" t="s">
        <v>1214</v>
      </c>
      <c r="D201" s="8" t="s">
        <v>1255</v>
      </c>
      <c r="E201" s="8" t="s">
        <v>1269</v>
      </c>
      <c r="F201" s="8" t="s">
        <v>1270</v>
      </c>
      <c r="G201" s="8" t="s">
        <v>370</v>
      </c>
      <c r="H201" s="8" t="str">
        <f aca="false">IF(COUNTIF(M201:R201,"M")&gt;0,"Must Have",IF(COUNTIF(M201:R201,"S")&gt;0,"Should Have",IF(COUNTIF(M201:R201,"C")&gt;0,"Could Have",IF(COUNTA(M201:R201)&gt;0,"Stated – no priority","Aurigo-only (no RFP source)"))))</f>
        <v>Must Have</v>
      </c>
      <c r="I201" s="12" t="n">
        <f aca="false">COUNTA(M201:R201)</f>
        <v>2</v>
      </c>
      <c r="J201" s="12" t="n">
        <f aca="false">COUNTIF(M201:R201,"M")</f>
        <v>1</v>
      </c>
      <c r="K201" s="8" t="str">
        <f aca="false">IF(I201=0,"Aurigo-only",IF(I201=1,"Single source",IF(I201=2,"Two sources",IF(I201&lt;=4,"Common (3-4)","Broad (5+)"))))</f>
        <v>Two sources</v>
      </c>
      <c r="L201" s="8" t="str">
        <f aca="false">IF(J201&gt;=3,"Tier 1: Must in 3+ sources",IF(J201=2,"Tier 2: Must in 2 sources",IF(J201=1,"Tier 3: Must in 1 source",IF(COUNTIF(M201:R201,"S")&gt;0,"Tier 4: Should only",IF(COUNTIF(M201:R201,"C")&gt;0,"Tier 5: Could only",IF(I201&gt;0,"Tier 6: stated, no priority","Aurigo-only"))))))</f>
        <v>Tier 3: Must in 1 source</v>
      </c>
      <c r="M201" s="12" t="s">
        <v>194</v>
      </c>
      <c r="N201" s="12" t="s">
        <v>810</v>
      </c>
      <c r="O201" s="12"/>
      <c r="P201" s="12"/>
      <c r="Q201" s="12"/>
      <c r="R201" s="12"/>
      <c r="S201" s="8" t="s">
        <v>1271</v>
      </c>
      <c r="T201" s="8" t="s">
        <v>1272</v>
      </c>
      <c r="U201" s="8"/>
      <c r="V201" s="8" t="s">
        <v>204</v>
      </c>
      <c r="W201" s="8" t="s">
        <v>205</v>
      </c>
      <c r="X201" s="8"/>
      <c r="Y201" s="8"/>
      <c r="Z201" s="7" t="s">
        <v>123</v>
      </c>
      <c r="AA201" s="8" t="s">
        <v>124</v>
      </c>
      <c r="AB201" s="9" t="n">
        <v>285</v>
      </c>
      <c r="AC201" s="8" t="s">
        <v>1273</v>
      </c>
    </row>
    <row r="202" customFormat="false" ht="87" hidden="false" customHeight="true" outlineLevel="0" collapsed="false">
      <c r="A202" s="12" t="s">
        <v>1274</v>
      </c>
      <c r="B202" s="8" t="s">
        <v>1047</v>
      </c>
      <c r="C202" s="8" t="s">
        <v>1214</v>
      </c>
      <c r="D202" s="8" t="s">
        <v>370</v>
      </c>
      <c r="E202" s="8" t="s">
        <v>1275</v>
      </c>
      <c r="F202" s="8" t="s">
        <v>1276</v>
      </c>
      <c r="G202" s="8" t="s">
        <v>370</v>
      </c>
      <c r="H202" s="8" t="str">
        <f aca="false">IF(COUNTIF(M202:R202,"M")&gt;0,"Must Have",IF(COUNTIF(M202:R202,"S")&gt;0,"Should Have",IF(COUNTIF(M202:R202,"C")&gt;0,"Could Have",IF(COUNTA(M202:R202)&gt;0,"Stated – no priority","Aurigo-only (no RFP source)"))))</f>
        <v>Must Have</v>
      </c>
      <c r="I202" s="12" t="n">
        <f aca="false">COUNTA(M202:R202)</f>
        <v>3</v>
      </c>
      <c r="J202" s="12" t="n">
        <f aca="false">COUNTIF(M202:R202,"M")</f>
        <v>3</v>
      </c>
      <c r="K202" s="8" t="str">
        <f aca="false">IF(I202=0,"Aurigo-only",IF(I202=1,"Single source",IF(I202=2,"Two sources",IF(I202&lt;=4,"Common (3-4)","Broad (5+)"))))</f>
        <v>Common (3-4)</v>
      </c>
      <c r="L202" s="8" t="str">
        <f aca="false">IF(J202&gt;=3,"Tier 1: Must in 3+ sources",IF(J202=2,"Tier 2: Must in 2 sources",IF(J202=1,"Tier 3: Must in 1 source",IF(COUNTIF(M202:R202,"S")&gt;0,"Tier 4: Should only",IF(COUNTIF(M202:R202,"C")&gt;0,"Tier 5: Could only",IF(I202&gt;0,"Tier 6: stated, no priority","Aurigo-only"))))))</f>
        <v>Tier 1: Must in 3+ sources</v>
      </c>
      <c r="M202" s="12" t="s">
        <v>194</v>
      </c>
      <c r="N202" s="12" t="s">
        <v>194</v>
      </c>
      <c r="O202" s="12"/>
      <c r="P202" s="12"/>
      <c r="Q202" s="12"/>
      <c r="R202" s="12" t="s">
        <v>194</v>
      </c>
      <c r="S202" s="8" t="s">
        <v>1277</v>
      </c>
      <c r="T202" s="8"/>
      <c r="U202" s="8"/>
      <c r="V202" s="8" t="s">
        <v>197</v>
      </c>
      <c r="W202" s="8" t="s">
        <v>1278</v>
      </c>
      <c r="X202" s="8"/>
      <c r="Y202" s="8"/>
      <c r="Z202" s="7" t="s">
        <v>77</v>
      </c>
      <c r="AA202" s="8" t="s">
        <v>78</v>
      </c>
      <c r="AB202" s="9" t="n">
        <v>179</v>
      </c>
      <c r="AC202" s="8" t="s">
        <v>1279</v>
      </c>
    </row>
    <row r="203" customFormat="false" ht="24.75" hidden="false" customHeight="true" outlineLevel="0" collapsed="false">
      <c r="A203" s="12" t="s">
        <v>1280</v>
      </c>
      <c r="B203" s="8" t="s">
        <v>1047</v>
      </c>
      <c r="C203" s="8" t="s">
        <v>1214</v>
      </c>
      <c r="D203" s="8" t="s">
        <v>370</v>
      </c>
      <c r="E203" s="8" t="s">
        <v>1281</v>
      </c>
      <c r="F203" s="8" t="s">
        <v>1282</v>
      </c>
      <c r="G203" s="8" t="s">
        <v>370</v>
      </c>
      <c r="H203" s="8" t="str">
        <f aca="false">IF(COUNTIF(M203:R203,"M")&gt;0,"Must Have",IF(COUNTIF(M203:R203,"S")&gt;0,"Should Have",IF(COUNTIF(M203:R203,"C")&gt;0,"Could Have",IF(COUNTA(M203:R203)&gt;0,"Stated – no priority","Aurigo-only (no RFP source)"))))</f>
        <v>Must Have</v>
      </c>
      <c r="I203" s="12" t="n">
        <f aca="false">COUNTA(M203:R203)</f>
        <v>1</v>
      </c>
      <c r="J203" s="12" t="n">
        <f aca="false">COUNTIF(M203:R203,"M")</f>
        <v>1</v>
      </c>
      <c r="K203" s="8" t="str">
        <f aca="false">IF(I203=0,"Aurigo-only",IF(I203=1,"Single source",IF(I203=2,"Two sources",IF(I203&lt;=4,"Common (3-4)","Broad (5+)"))))</f>
        <v>Single source</v>
      </c>
      <c r="L203" s="8" t="str">
        <f aca="false">IF(J203&gt;=3,"Tier 1: Must in 3+ sources",IF(J203=2,"Tier 2: Must in 2 sources",IF(J203=1,"Tier 3: Must in 1 source",IF(COUNTIF(M203:R203,"S")&gt;0,"Tier 4: Should only",IF(COUNTIF(M203:R203,"C")&gt;0,"Tier 5: Could only",IF(I203&gt;0,"Tier 6: stated, no priority","Aurigo-only"))))))</f>
        <v>Tier 3: Must in 1 source</v>
      </c>
      <c r="M203" s="12"/>
      <c r="N203" s="12" t="s">
        <v>194</v>
      </c>
      <c r="O203" s="12"/>
      <c r="P203" s="12"/>
      <c r="Q203" s="12"/>
      <c r="R203" s="12"/>
      <c r="S203" s="8" t="s">
        <v>1283</v>
      </c>
      <c r="T203" s="8"/>
      <c r="U203" s="8"/>
      <c r="V203" s="8" t="s">
        <v>204</v>
      </c>
      <c r="W203" s="8" t="s">
        <v>205</v>
      </c>
      <c r="X203" s="8"/>
      <c r="Y203" s="8"/>
      <c r="Z203" s="7" t="s">
        <v>123</v>
      </c>
      <c r="AA203" s="8" t="s">
        <v>124</v>
      </c>
      <c r="AB203" s="9" t="n">
        <v>286</v>
      </c>
      <c r="AC203" s="8" t="s">
        <v>988</v>
      </c>
    </row>
    <row r="204" customFormat="false" ht="37.5" hidden="false" customHeight="true" outlineLevel="0" collapsed="false">
      <c r="A204" s="12" t="s">
        <v>1284</v>
      </c>
      <c r="B204" s="8" t="s">
        <v>1047</v>
      </c>
      <c r="C204" s="8" t="s">
        <v>1214</v>
      </c>
      <c r="D204" s="8" t="s">
        <v>370</v>
      </c>
      <c r="E204" s="8" t="s">
        <v>1285</v>
      </c>
      <c r="F204" s="8" t="s">
        <v>1286</v>
      </c>
      <c r="G204" s="8" t="s">
        <v>397</v>
      </c>
      <c r="H204" s="8" t="str">
        <f aca="false">IF(COUNTIF(M204:R204,"M")&gt;0,"Must Have",IF(COUNTIF(M204:R204,"S")&gt;0,"Should Have",IF(COUNTIF(M204:R204,"C")&gt;0,"Could Have",IF(COUNTA(M204:R204)&gt;0,"Stated – no priority","Aurigo-only (no RFP source)"))))</f>
        <v>Must Have</v>
      </c>
      <c r="I204" s="12" t="n">
        <f aca="false">COUNTA(M204:R204)</f>
        <v>1</v>
      </c>
      <c r="J204" s="12" t="n">
        <f aca="false">COUNTIF(M204:R204,"M")</f>
        <v>1</v>
      </c>
      <c r="K204" s="8" t="str">
        <f aca="false">IF(I204=0,"Aurigo-only",IF(I204=1,"Single source",IF(I204=2,"Two sources",IF(I204&lt;=4,"Common (3-4)","Broad (5+)"))))</f>
        <v>Single source</v>
      </c>
      <c r="L204" s="8" t="str">
        <f aca="false">IF(J204&gt;=3,"Tier 1: Must in 3+ sources",IF(J204=2,"Tier 2: Must in 2 sources",IF(J204=1,"Tier 3: Must in 1 source",IF(COUNTIF(M204:R204,"S")&gt;0,"Tier 4: Should only",IF(COUNTIF(M204:R204,"C")&gt;0,"Tier 5: Could only",IF(I204&gt;0,"Tier 6: stated, no priority","Aurigo-only"))))))</f>
        <v>Tier 3: Must in 1 source</v>
      </c>
      <c r="M204" s="12"/>
      <c r="N204" s="12" t="s">
        <v>194</v>
      </c>
      <c r="O204" s="12"/>
      <c r="P204" s="12"/>
      <c r="Q204" s="12"/>
      <c r="R204" s="12"/>
      <c r="S204" s="8" t="s">
        <v>1287</v>
      </c>
      <c r="T204" s="8"/>
      <c r="U204" s="8" t="s">
        <v>1288</v>
      </c>
      <c r="V204" s="8" t="s">
        <v>204</v>
      </c>
      <c r="W204" s="8" t="s">
        <v>205</v>
      </c>
      <c r="X204" s="8"/>
      <c r="Y204" s="8"/>
      <c r="Z204" s="7" t="s">
        <v>126</v>
      </c>
      <c r="AA204" s="8" t="s">
        <v>127</v>
      </c>
      <c r="AB204" s="9" t="n">
        <v>294</v>
      </c>
      <c r="AC204" s="8" t="s">
        <v>1289</v>
      </c>
    </row>
    <row r="205" customFormat="false" ht="62.25" hidden="false" customHeight="true" outlineLevel="0" collapsed="false">
      <c r="A205" s="12" t="s">
        <v>1290</v>
      </c>
      <c r="B205" s="8" t="s">
        <v>1047</v>
      </c>
      <c r="C205" s="8" t="s">
        <v>1291</v>
      </c>
      <c r="D205" s="8" t="s">
        <v>1292</v>
      </c>
      <c r="E205" s="8" t="s">
        <v>1293</v>
      </c>
      <c r="F205" s="8" t="s">
        <v>1294</v>
      </c>
      <c r="G205" s="8" t="s">
        <v>403</v>
      </c>
      <c r="H205" s="8" t="str">
        <f aca="false">IF(COUNTIF(M205:R205,"M")&gt;0,"Must Have",IF(COUNTIF(M205:R205,"S")&gt;0,"Should Have",IF(COUNTIF(M205:R205,"C")&gt;0,"Could Have",IF(COUNTA(M205:R205)&gt;0,"Stated – no priority","Aurigo-only (no RFP source)"))))</f>
        <v>Must Have</v>
      </c>
      <c r="I205" s="12" t="n">
        <f aca="false">COUNTA(M205:R205)</f>
        <v>3</v>
      </c>
      <c r="J205" s="12" t="n">
        <f aca="false">COUNTIF(M205:R205,"M")</f>
        <v>3</v>
      </c>
      <c r="K205" s="8" t="str">
        <f aca="false">IF(I205=0,"Aurigo-only",IF(I205=1,"Single source",IF(I205=2,"Two sources",IF(I205&lt;=4,"Common (3-4)","Broad (5+)"))))</f>
        <v>Common (3-4)</v>
      </c>
      <c r="L205" s="8" t="str">
        <f aca="false">IF(J205&gt;=3,"Tier 1: Must in 3+ sources",IF(J205=2,"Tier 2: Must in 2 sources",IF(J205=1,"Tier 3: Must in 1 source",IF(COUNTIF(M205:R205,"S")&gt;0,"Tier 4: Should only",IF(COUNTIF(M205:R205,"C")&gt;0,"Tier 5: Could only",IF(I205&gt;0,"Tier 6: stated, no priority","Aurigo-only"))))))</f>
        <v>Tier 1: Must in 3+ sources</v>
      </c>
      <c r="M205" s="12" t="s">
        <v>194</v>
      </c>
      <c r="N205" s="12"/>
      <c r="O205" s="12"/>
      <c r="P205" s="12"/>
      <c r="Q205" s="12" t="s">
        <v>194</v>
      </c>
      <c r="R205" s="12" t="s">
        <v>194</v>
      </c>
      <c r="S205" s="8" t="s">
        <v>1295</v>
      </c>
      <c r="T205" s="8"/>
      <c r="U205" s="8"/>
      <c r="V205" s="8" t="s">
        <v>204</v>
      </c>
      <c r="W205" s="8" t="s">
        <v>205</v>
      </c>
      <c r="X205" s="8"/>
      <c r="Y205" s="8"/>
      <c r="Z205" s="7" t="s">
        <v>80</v>
      </c>
      <c r="AA205" s="8" t="s">
        <v>81</v>
      </c>
      <c r="AB205" s="9" t="n">
        <v>181</v>
      </c>
      <c r="AC205" s="8" t="s">
        <v>1296</v>
      </c>
    </row>
    <row r="206" customFormat="false" ht="75" hidden="false" customHeight="true" outlineLevel="0" collapsed="false">
      <c r="A206" s="12" t="s">
        <v>982</v>
      </c>
      <c r="B206" s="8" t="s">
        <v>1047</v>
      </c>
      <c r="C206" s="8" t="s">
        <v>1291</v>
      </c>
      <c r="D206" s="8" t="s">
        <v>1297</v>
      </c>
      <c r="E206" s="8" t="s">
        <v>1298</v>
      </c>
      <c r="F206" s="8" t="s">
        <v>1299</v>
      </c>
      <c r="G206" s="8" t="s">
        <v>403</v>
      </c>
      <c r="H206" s="8" t="str">
        <f aca="false">IF(COUNTIF(M206:R206,"M")&gt;0,"Must Have",IF(COUNTIF(M206:R206,"S")&gt;0,"Should Have",IF(COUNTIF(M206:R206,"C")&gt;0,"Could Have",IF(COUNTA(M206:R206)&gt;0,"Stated – no priority","Aurigo-only (no RFP source)"))))</f>
        <v>Must Have</v>
      </c>
      <c r="I206" s="12" t="n">
        <f aca="false">COUNTA(M206:R206)</f>
        <v>3</v>
      </c>
      <c r="J206" s="12" t="n">
        <f aca="false">COUNTIF(M206:R206,"M")</f>
        <v>3</v>
      </c>
      <c r="K206" s="8" t="str">
        <f aca="false">IF(I206=0,"Aurigo-only",IF(I206=1,"Single source",IF(I206=2,"Two sources",IF(I206&lt;=4,"Common (3-4)","Broad (5+)"))))</f>
        <v>Common (3-4)</v>
      </c>
      <c r="L206" s="8" t="str">
        <f aca="false">IF(J206&gt;=3,"Tier 1: Must in 3+ sources",IF(J206=2,"Tier 2: Must in 2 sources",IF(J206=1,"Tier 3: Must in 1 source",IF(COUNTIF(M206:R206,"S")&gt;0,"Tier 4: Should only",IF(COUNTIF(M206:R206,"C")&gt;0,"Tier 5: Could only",IF(I206&gt;0,"Tier 6: stated, no priority","Aurigo-only"))))))</f>
        <v>Tier 1: Must in 3+ sources</v>
      </c>
      <c r="M206" s="12" t="s">
        <v>194</v>
      </c>
      <c r="N206" s="12" t="s">
        <v>194</v>
      </c>
      <c r="O206" s="12"/>
      <c r="P206" s="12"/>
      <c r="Q206" s="12" t="s">
        <v>194</v>
      </c>
      <c r="R206" s="12"/>
      <c r="S206" s="8" t="s">
        <v>1300</v>
      </c>
      <c r="T206" s="8"/>
      <c r="U206" s="8"/>
      <c r="V206" s="8" t="s">
        <v>204</v>
      </c>
      <c r="W206" s="8" t="s">
        <v>1301</v>
      </c>
      <c r="X206" s="8"/>
      <c r="Y206" s="8" t="s">
        <v>1199</v>
      </c>
      <c r="Z206" s="7" t="s">
        <v>80</v>
      </c>
      <c r="AA206" s="8" t="s">
        <v>81</v>
      </c>
      <c r="AB206" s="9" t="n">
        <v>182</v>
      </c>
      <c r="AC206" s="8" t="s">
        <v>1290</v>
      </c>
    </row>
    <row r="207" customFormat="false" ht="75" hidden="false" customHeight="true" outlineLevel="0" collapsed="false">
      <c r="A207" s="12" t="s">
        <v>1302</v>
      </c>
      <c r="B207" s="8" t="s">
        <v>1047</v>
      </c>
      <c r="C207" s="8" t="s">
        <v>1291</v>
      </c>
      <c r="D207" s="8" t="s">
        <v>1303</v>
      </c>
      <c r="E207" s="8" t="s">
        <v>1304</v>
      </c>
      <c r="F207" s="8" t="s">
        <v>1305</v>
      </c>
      <c r="G207" s="8" t="s">
        <v>193</v>
      </c>
      <c r="H207" s="8" t="str">
        <f aca="false">IF(COUNTIF(M207:R207,"M")&gt;0,"Must Have",IF(COUNTIF(M207:R207,"S")&gt;0,"Should Have",IF(COUNTIF(M207:R207,"C")&gt;0,"Could Have",IF(COUNTA(M207:R207)&gt;0,"Stated – no priority","Aurigo-only (no RFP source)"))))</f>
        <v>Must Have</v>
      </c>
      <c r="I207" s="12" t="n">
        <f aca="false">COUNTA(M207:R207)</f>
        <v>3</v>
      </c>
      <c r="J207" s="12" t="n">
        <f aca="false">COUNTIF(M207:R207,"M")</f>
        <v>3</v>
      </c>
      <c r="K207" s="8" t="str">
        <f aca="false">IF(I207=0,"Aurigo-only",IF(I207=1,"Single source",IF(I207=2,"Two sources",IF(I207&lt;=4,"Common (3-4)","Broad (5+)"))))</f>
        <v>Common (3-4)</v>
      </c>
      <c r="L207" s="8" t="str">
        <f aca="false">IF(J207&gt;=3,"Tier 1: Must in 3+ sources",IF(J207=2,"Tier 2: Must in 2 sources",IF(J207=1,"Tier 3: Must in 1 source",IF(COUNTIF(M207:R207,"S")&gt;0,"Tier 4: Should only",IF(COUNTIF(M207:R207,"C")&gt;0,"Tier 5: Could only",IF(I207&gt;0,"Tier 6: stated, no priority","Aurigo-only"))))))</f>
        <v>Tier 1: Must in 3+ sources</v>
      </c>
      <c r="M207" s="12" t="s">
        <v>194</v>
      </c>
      <c r="N207" s="12" t="s">
        <v>194</v>
      </c>
      <c r="O207" s="12"/>
      <c r="P207" s="12"/>
      <c r="Q207" s="12" t="s">
        <v>194</v>
      </c>
      <c r="R207" s="12"/>
      <c r="S207" s="8" t="s">
        <v>1306</v>
      </c>
      <c r="T207" s="8"/>
      <c r="U207" s="8"/>
      <c r="V207" s="8" t="s">
        <v>204</v>
      </c>
      <c r="W207" s="8" t="s">
        <v>205</v>
      </c>
      <c r="X207" s="8"/>
      <c r="Y207" s="8"/>
      <c r="Z207" s="7" t="s">
        <v>80</v>
      </c>
      <c r="AA207" s="8" t="s">
        <v>81</v>
      </c>
      <c r="AB207" s="9" t="n">
        <v>183</v>
      </c>
      <c r="AC207" s="8" t="s">
        <v>1290</v>
      </c>
    </row>
    <row r="208" customFormat="false" ht="24.75" hidden="false" customHeight="true" outlineLevel="0" collapsed="false">
      <c r="A208" s="12" t="s">
        <v>1307</v>
      </c>
      <c r="B208" s="8" t="s">
        <v>1047</v>
      </c>
      <c r="C208" s="8" t="s">
        <v>1291</v>
      </c>
      <c r="D208" s="8" t="s">
        <v>1303</v>
      </c>
      <c r="E208" s="8" t="s">
        <v>1308</v>
      </c>
      <c r="F208" s="8" t="s">
        <v>1309</v>
      </c>
      <c r="G208" s="8" t="s">
        <v>409</v>
      </c>
      <c r="H208" s="8" t="str">
        <f aca="false">IF(COUNTIF(M208:R208,"M")&gt;0,"Must Have",IF(COUNTIF(M208:R208,"S")&gt;0,"Should Have",IF(COUNTIF(M208:R208,"C")&gt;0,"Could Have",IF(COUNTA(M208:R208)&gt;0,"Stated – no priority","Aurigo-only (no RFP source)"))))</f>
        <v>Must Have</v>
      </c>
      <c r="I208" s="12" t="n">
        <f aca="false">COUNTA(M208:R208)</f>
        <v>1</v>
      </c>
      <c r="J208" s="12" t="n">
        <f aca="false">COUNTIF(M208:R208,"M")</f>
        <v>1</v>
      </c>
      <c r="K208" s="8" t="str">
        <f aca="false">IF(I208=0,"Aurigo-only",IF(I208=1,"Single source",IF(I208=2,"Two sources",IF(I208&lt;=4,"Common (3-4)","Broad (5+)"))))</f>
        <v>Single source</v>
      </c>
      <c r="L208" s="8" t="str">
        <f aca="false">IF(J208&gt;=3,"Tier 1: Must in 3+ sources",IF(J208=2,"Tier 2: Must in 2 sources",IF(J208=1,"Tier 3: Must in 1 source",IF(COUNTIF(M208:R208,"S")&gt;0,"Tier 4: Should only",IF(COUNTIF(M208:R208,"C")&gt;0,"Tier 5: Could only",IF(I208&gt;0,"Tier 6: stated, no priority","Aurigo-only"))))))</f>
        <v>Tier 3: Must in 1 source</v>
      </c>
      <c r="M208" s="12" t="s">
        <v>194</v>
      </c>
      <c r="N208" s="12"/>
      <c r="O208" s="12"/>
      <c r="P208" s="12"/>
      <c r="Q208" s="12"/>
      <c r="R208" s="12"/>
      <c r="S208" s="8" t="s">
        <v>1310</v>
      </c>
      <c r="T208" s="8"/>
      <c r="U208" s="8"/>
      <c r="V208" s="8" t="s">
        <v>204</v>
      </c>
      <c r="W208" s="8" t="s">
        <v>205</v>
      </c>
      <c r="X208" s="8"/>
      <c r="Y208" s="8"/>
      <c r="Z208" s="7" t="s">
        <v>132</v>
      </c>
      <c r="AA208" s="8" t="s">
        <v>133</v>
      </c>
      <c r="AB208" s="9" t="n">
        <v>309</v>
      </c>
      <c r="AC208" s="8" t="s">
        <v>1002</v>
      </c>
    </row>
    <row r="209" customFormat="false" ht="24.75" hidden="false" customHeight="true" outlineLevel="0" collapsed="false">
      <c r="A209" s="12" t="s">
        <v>1311</v>
      </c>
      <c r="B209" s="8" t="s">
        <v>1047</v>
      </c>
      <c r="C209" s="8" t="s">
        <v>1291</v>
      </c>
      <c r="D209" s="8" t="s">
        <v>1303</v>
      </c>
      <c r="E209" s="8" t="s">
        <v>1312</v>
      </c>
      <c r="F209" s="8" t="s">
        <v>1313</v>
      </c>
      <c r="G209" s="8" t="s">
        <v>403</v>
      </c>
      <c r="H209" s="8" t="str">
        <f aca="false">IF(COUNTIF(M209:R209,"M")&gt;0,"Must Have",IF(COUNTIF(M209:R209,"S")&gt;0,"Should Have",IF(COUNTIF(M209:R209,"C")&gt;0,"Could Have",IF(COUNTA(M209:R209)&gt;0,"Stated – no priority","Aurigo-only (no RFP source)"))))</f>
        <v>Must Have</v>
      </c>
      <c r="I209" s="12" t="n">
        <f aca="false">COUNTA(M209:R209)</f>
        <v>1</v>
      </c>
      <c r="J209" s="12" t="n">
        <f aca="false">COUNTIF(M209:R209,"M")</f>
        <v>1</v>
      </c>
      <c r="K209" s="8" t="str">
        <f aca="false">IF(I209=0,"Aurigo-only",IF(I209=1,"Single source",IF(I209=2,"Two sources",IF(I209&lt;=4,"Common (3-4)","Broad (5+)"))))</f>
        <v>Single source</v>
      </c>
      <c r="L209" s="8" t="str">
        <f aca="false">IF(J209&gt;=3,"Tier 1: Must in 3+ sources",IF(J209=2,"Tier 2: Must in 2 sources",IF(J209=1,"Tier 3: Must in 1 source",IF(COUNTIF(M209:R209,"S")&gt;0,"Tier 4: Should only",IF(COUNTIF(M209:R209,"C")&gt;0,"Tier 5: Could only",IF(I209&gt;0,"Tier 6: stated, no priority","Aurigo-only"))))))</f>
        <v>Tier 3: Must in 1 source</v>
      </c>
      <c r="M209" s="12"/>
      <c r="N209" s="12" t="s">
        <v>194</v>
      </c>
      <c r="O209" s="12"/>
      <c r="P209" s="12"/>
      <c r="Q209" s="12"/>
      <c r="R209" s="12"/>
      <c r="S209" s="8" t="s">
        <v>1122</v>
      </c>
      <c r="T209" s="8"/>
      <c r="U209" s="8"/>
      <c r="V209" s="8" t="s">
        <v>204</v>
      </c>
      <c r="W209" s="8" t="s">
        <v>205</v>
      </c>
      <c r="X209" s="8"/>
      <c r="Y209" s="8" t="s">
        <v>1199</v>
      </c>
      <c r="Z209" s="7" t="s">
        <v>34</v>
      </c>
      <c r="AA209" s="8" t="s">
        <v>35</v>
      </c>
      <c r="AB209" s="9" t="n">
        <v>5</v>
      </c>
      <c r="AC209" s="8" t="s">
        <v>639</v>
      </c>
    </row>
    <row r="210" customFormat="false" ht="37.5" hidden="false" customHeight="true" outlineLevel="0" collapsed="false">
      <c r="A210" s="12" t="s">
        <v>1314</v>
      </c>
      <c r="B210" s="8" t="s">
        <v>1047</v>
      </c>
      <c r="C210" s="8" t="s">
        <v>1291</v>
      </c>
      <c r="D210" s="8" t="s">
        <v>1315</v>
      </c>
      <c r="E210" s="8" t="s">
        <v>1316</v>
      </c>
      <c r="F210" s="8" t="s">
        <v>1317</v>
      </c>
      <c r="G210" s="8" t="s">
        <v>403</v>
      </c>
      <c r="H210" s="8" t="str">
        <f aca="false">IF(COUNTIF(M210:R210,"M")&gt;0,"Must Have",IF(COUNTIF(M210:R210,"S")&gt;0,"Should Have",IF(COUNTIF(M210:R210,"C")&gt;0,"Could Have",IF(COUNTA(M210:R210)&gt;0,"Stated – no priority","Aurigo-only (no RFP source)"))))</f>
        <v>Must Have</v>
      </c>
      <c r="I210" s="12" t="n">
        <f aca="false">COUNTA(M210:R210)</f>
        <v>2</v>
      </c>
      <c r="J210" s="12" t="n">
        <f aca="false">COUNTIF(M210:R210,"M")</f>
        <v>2</v>
      </c>
      <c r="K210" s="8" t="str">
        <f aca="false">IF(I210=0,"Aurigo-only",IF(I210=1,"Single source",IF(I210=2,"Two sources",IF(I210&lt;=4,"Common (3-4)","Broad (5+)"))))</f>
        <v>Two sources</v>
      </c>
      <c r="L210" s="8" t="str">
        <f aca="false">IF(J210&gt;=3,"Tier 1: Must in 3+ sources",IF(J210=2,"Tier 2: Must in 2 sources",IF(J210=1,"Tier 3: Must in 1 source",IF(COUNTIF(M210:R210,"S")&gt;0,"Tier 4: Should only",IF(COUNTIF(M210:R210,"C")&gt;0,"Tier 5: Could only",IF(I210&gt;0,"Tier 6: stated, no priority","Aurigo-only"))))))</f>
        <v>Tier 2: Must in 2 sources</v>
      </c>
      <c r="M210" s="12" t="s">
        <v>194</v>
      </c>
      <c r="N210" s="12" t="s">
        <v>194</v>
      </c>
      <c r="O210" s="12"/>
      <c r="P210" s="12"/>
      <c r="Q210" s="12"/>
      <c r="R210" s="12"/>
      <c r="S210" s="8" t="s">
        <v>1318</v>
      </c>
      <c r="T210" s="8"/>
      <c r="U210" s="8"/>
      <c r="V210" s="8" t="s">
        <v>204</v>
      </c>
      <c r="W210" s="8" t="s">
        <v>205</v>
      </c>
      <c r="X210" s="8"/>
      <c r="Y210" s="8" t="s">
        <v>1319</v>
      </c>
      <c r="Z210" s="7" t="s">
        <v>129</v>
      </c>
      <c r="AA210" s="8" t="s">
        <v>130</v>
      </c>
      <c r="AB210" s="9" t="n">
        <v>301</v>
      </c>
      <c r="AC210" s="8" t="s">
        <v>1320</v>
      </c>
    </row>
    <row r="211" customFormat="false" ht="37.5" hidden="false" customHeight="true" outlineLevel="0" collapsed="false">
      <c r="A211" s="12" t="s">
        <v>1321</v>
      </c>
      <c r="B211" s="8" t="s">
        <v>1047</v>
      </c>
      <c r="C211" s="8" t="s">
        <v>1291</v>
      </c>
      <c r="D211" s="8" t="s">
        <v>1315</v>
      </c>
      <c r="E211" s="8" t="s">
        <v>1322</v>
      </c>
      <c r="F211" s="8" t="s">
        <v>1323</v>
      </c>
      <c r="G211" s="8" t="s">
        <v>193</v>
      </c>
      <c r="H211" s="8" t="str">
        <f aca="false">IF(COUNTIF(M211:R211,"M")&gt;0,"Must Have",IF(COUNTIF(M211:R211,"S")&gt;0,"Should Have",IF(COUNTIF(M211:R211,"C")&gt;0,"Could Have",IF(COUNTA(M211:R211)&gt;0,"Stated – no priority","Aurigo-only (no RFP source)"))))</f>
        <v>Must Have</v>
      </c>
      <c r="I211" s="12" t="n">
        <f aca="false">COUNTA(M211:R211)</f>
        <v>2</v>
      </c>
      <c r="J211" s="12" t="n">
        <f aca="false">COUNTIF(M211:R211,"M")</f>
        <v>1</v>
      </c>
      <c r="K211" s="8" t="str">
        <f aca="false">IF(I211=0,"Aurigo-only",IF(I211=1,"Single source",IF(I211=2,"Two sources",IF(I211&lt;=4,"Common (3-4)","Broad (5+)"))))</f>
        <v>Two sources</v>
      </c>
      <c r="L211" s="8" t="str">
        <f aca="false">IF(J211&gt;=3,"Tier 1: Must in 3+ sources",IF(J211=2,"Tier 2: Must in 2 sources",IF(J211=1,"Tier 3: Must in 1 source",IF(COUNTIF(M211:R211,"S")&gt;0,"Tier 4: Should only",IF(COUNTIF(M211:R211,"C")&gt;0,"Tier 5: Could only",IF(I211&gt;0,"Tier 6: stated, no priority","Aurigo-only"))))))</f>
        <v>Tier 3: Must in 1 source</v>
      </c>
      <c r="M211" s="12" t="s">
        <v>194</v>
      </c>
      <c r="N211" s="12"/>
      <c r="O211" s="12"/>
      <c r="P211" s="12" t="s">
        <v>195</v>
      </c>
      <c r="Q211" s="12"/>
      <c r="R211" s="12"/>
      <c r="S211" s="8" t="s">
        <v>1324</v>
      </c>
      <c r="T211" s="8"/>
      <c r="U211" s="8"/>
      <c r="V211" s="8" t="s">
        <v>204</v>
      </c>
      <c r="W211" s="8" t="s">
        <v>205</v>
      </c>
      <c r="X211" s="8"/>
      <c r="Y211" s="8"/>
      <c r="Z211" s="7" t="s">
        <v>129</v>
      </c>
      <c r="AA211" s="8" t="s">
        <v>130</v>
      </c>
      <c r="AB211" s="9" t="n">
        <v>302</v>
      </c>
      <c r="AC211" s="8" t="s">
        <v>1325</v>
      </c>
    </row>
    <row r="212" customFormat="false" ht="99.75" hidden="false" customHeight="true" outlineLevel="0" collapsed="false">
      <c r="A212" s="12" t="s">
        <v>1002</v>
      </c>
      <c r="B212" s="8" t="s">
        <v>1047</v>
      </c>
      <c r="C212" s="8" t="s">
        <v>1326</v>
      </c>
      <c r="D212" s="8" t="s">
        <v>1327</v>
      </c>
      <c r="E212" s="8" t="s">
        <v>1328</v>
      </c>
      <c r="F212" s="8" t="s">
        <v>1329</v>
      </c>
      <c r="G212" s="8" t="s">
        <v>397</v>
      </c>
      <c r="H212" s="8" t="str">
        <f aca="false">IF(COUNTIF(M212:R212,"M")&gt;0,"Must Have",IF(COUNTIF(M212:R212,"S")&gt;0,"Should Have",IF(COUNTIF(M212:R212,"C")&gt;0,"Could Have",IF(COUNTA(M212:R212)&gt;0,"Stated – no priority","Aurigo-only (no RFP source)"))))</f>
        <v>Must Have</v>
      </c>
      <c r="I212" s="12" t="n">
        <f aca="false">COUNTA(M212:R212)</f>
        <v>4</v>
      </c>
      <c r="J212" s="12" t="n">
        <f aca="false">COUNTIF(M212:R212,"M")</f>
        <v>1</v>
      </c>
      <c r="K212" s="8" t="str">
        <f aca="false">IF(I212=0,"Aurigo-only",IF(I212=1,"Single source",IF(I212=2,"Two sources",IF(I212&lt;=4,"Common (3-4)","Broad (5+)"))))</f>
        <v>Common (3-4)</v>
      </c>
      <c r="L212" s="8" t="str">
        <f aca="false">IF(J212&gt;=3,"Tier 1: Must in 3+ sources",IF(J212=2,"Tier 2: Must in 2 sources",IF(J212=1,"Tier 3: Must in 1 source",IF(COUNTIF(M212:R212,"S")&gt;0,"Tier 4: Should only",IF(COUNTIF(M212:R212,"C")&gt;0,"Tier 5: Could only",IF(I212&gt;0,"Tier 6: stated, no priority","Aurigo-only"))))))</f>
        <v>Tier 3: Must in 1 source</v>
      </c>
      <c r="M212" s="12" t="s">
        <v>232</v>
      </c>
      <c r="N212" s="12" t="s">
        <v>194</v>
      </c>
      <c r="O212" s="12" t="s">
        <v>232</v>
      </c>
      <c r="P212" s="12" t="s">
        <v>195</v>
      </c>
      <c r="Q212" s="12"/>
      <c r="R212" s="12"/>
      <c r="S212" s="8" t="s">
        <v>1330</v>
      </c>
      <c r="T212" s="8"/>
      <c r="U212" s="8" t="s">
        <v>1331</v>
      </c>
      <c r="V212" s="8" t="s">
        <v>214</v>
      </c>
      <c r="W212" s="8" t="s">
        <v>1332</v>
      </c>
      <c r="X212" s="8"/>
      <c r="Y212" s="8" t="s">
        <v>1179</v>
      </c>
      <c r="Z212" s="7" t="s">
        <v>132</v>
      </c>
      <c r="AA212" s="8" t="s">
        <v>133</v>
      </c>
      <c r="AB212" s="9" t="n">
        <v>303</v>
      </c>
      <c r="AC212" s="8" t="s">
        <v>1092</v>
      </c>
    </row>
    <row r="213" customFormat="false" ht="87" hidden="false" customHeight="true" outlineLevel="0" collapsed="false">
      <c r="A213" s="12" t="s">
        <v>1333</v>
      </c>
      <c r="B213" s="8" t="s">
        <v>1047</v>
      </c>
      <c r="C213" s="8" t="s">
        <v>1326</v>
      </c>
      <c r="D213" s="8" t="s">
        <v>1334</v>
      </c>
      <c r="E213" s="8" t="s">
        <v>1335</v>
      </c>
      <c r="F213" s="8" t="s">
        <v>1336</v>
      </c>
      <c r="G213" s="8" t="s">
        <v>397</v>
      </c>
      <c r="H213" s="8" t="str">
        <f aca="false">IF(COUNTIF(M213:R213,"M")&gt;0,"Must Have",IF(COUNTIF(M213:R213,"S")&gt;0,"Should Have",IF(COUNTIF(M213:R213,"C")&gt;0,"Could Have",IF(COUNTA(M213:R213)&gt;0,"Stated – no priority","Aurigo-only (no RFP source)"))))</f>
        <v>Must Have</v>
      </c>
      <c r="I213" s="12" t="n">
        <f aca="false">COUNTA(M213:R213)</f>
        <v>4</v>
      </c>
      <c r="J213" s="12" t="n">
        <f aca="false">COUNTIF(M213:R213,"M")</f>
        <v>3</v>
      </c>
      <c r="K213" s="8" t="str">
        <f aca="false">IF(I213=0,"Aurigo-only",IF(I213=1,"Single source",IF(I213=2,"Two sources",IF(I213&lt;=4,"Common (3-4)","Broad (5+)"))))</f>
        <v>Common (3-4)</v>
      </c>
      <c r="L213" s="8" t="str">
        <f aca="false">IF(J213&gt;=3,"Tier 1: Must in 3+ sources",IF(J213=2,"Tier 2: Must in 2 sources",IF(J213=1,"Tier 3: Must in 1 source",IF(COUNTIF(M213:R213,"S")&gt;0,"Tier 4: Should only",IF(COUNTIF(M213:R213,"C")&gt;0,"Tier 5: Could only",IF(I213&gt;0,"Tier 6: stated, no priority","Aurigo-only"))))))</f>
        <v>Tier 1: Must in 3+ sources</v>
      </c>
      <c r="M213" s="12"/>
      <c r="N213" s="12" t="s">
        <v>194</v>
      </c>
      <c r="O213" s="12" t="s">
        <v>194</v>
      </c>
      <c r="P213" s="12" t="s">
        <v>195</v>
      </c>
      <c r="Q213" s="12"/>
      <c r="R213" s="12" t="s">
        <v>194</v>
      </c>
      <c r="S213" s="8" t="s">
        <v>1337</v>
      </c>
      <c r="T213" s="8"/>
      <c r="U213" s="8" t="s">
        <v>1338</v>
      </c>
      <c r="V213" s="8" t="s">
        <v>197</v>
      </c>
      <c r="W213" s="8" t="s">
        <v>1339</v>
      </c>
      <c r="X213" s="8"/>
      <c r="Y213" s="8" t="s">
        <v>1220</v>
      </c>
      <c r="Z213" s="7" t="s">
        <v>34</v>
      </c>
      <c r="AA213" s="8" t="s">
        <v>35</v>
      </c>
      <c r="AB213" s="9" t="n">
        <v>8</v>
      </c>
      <c r="AC213" s="8" t="s">
        <v>1092</v>
      </c>
    </row>
    <row r="214" customFormat="false" ht="62.25" hidden="false" customHeight="true" outlineLevel="0" collapsed="false">
      <c r="A214" s="12" t="s">
        <v>1340</v>
      </c>
      <c r="B214" s="8" t="s">
        <v>1047</v>
      </c>
      <c r="C214" s="8" t="s">
        <v>1326</v>
      </c>
      <c r="D214" s="8" t="s">
        <v>1341</v>
      </c>
      <c r="E214" s="8" t="s">
        <v>1342</v>
      </c>
      <c r="F214" s="8" t="s">
        <v>1343</v>
      </c>
      <c r="G214" s="8" t="s">
        <v>397</v>
      </c>
      <c r="H214" s="8" t="str">
        <f aca="false">IF(COUNTIF(M214:R214,"M")&gt;0,"Must Have",IF(COUNTIF(M214:R214,"S")&gt;0,"Should Have",IF(COUNTIF(M214:R214,"C")&gt;0,"Could Have",IF(COUNTA(M214:R214)&gt;0,"Stated – no priority","Aurigo-only (no RFP source)"))))</f>
        <v>Must Have</v>
      </c>
      <c r="I214" s="12" t="n">
        <f aca="false">COUNTA(M214:R214)</f>
        <v>2</v>
      </c>
      <c r="J214" s="12" t="n">
        <f aca="false">COUNTIF(M214:R214,"M")</f>
        <v>2</v>
      </c>
      <c r="K214" s="8" t="str">
        <f aca="false">IF(I214=0,"Aurigo-only",IF(I214=1,"Single source",IF(I214=2,"Two sources",IF(I214&lt;=4,"Common (3-4)","Broad (5+)"))))</f>
        <v>Two sources</v>
      </c>
      <c r="L214" s="8" t="str">
        <f aca="false">IF(J214&gt;=3,"Tier 1: Must in 3+ sources",IF(J214=2,"Tier 2: Must in 2 sources",IF(J214=1,"Tier 3: Must in 1 source",IF(COUNTIF(M214:R214,"S")&gt;0,"Tier 4: Should only",IF(COUNTIF(M214:R214,"C")&gt;0,"Tier 5: Could only",IF(I214&gt;0,"Tier 6: stated, no priority","Aurigo-only"))))))</f>
        <v>Tier 2: Must in 2 sources</v>
      </c>
      <c r="M214" s="12" t="s">
        <v>194</v>
      </c>
      <c r="N214" s="12"/>
      <c r="O214" s="12"/>
      <c r="P214" s="12"/>
      <c r="Q214" s="12"/>
      <c r="R214" s="12" t="s">
        <v>194</v>
      </c>
      <c r="S214" s="8" t="s">
        <v>1344</v>
      </c>
      <c r="T214" s="8"/>
      <c r="U214" s="8" t="s">
        <v>1345</v>
      </c>
      <c r="V214" s="8" t="s">
        <v>204</v>
      </c>
      <c r="W214" s="8" t="s">
        <v>205</v>
      </c>
      <c r="X214" s="8"/>
      <c r="Y214" s="8" t="s">
        <v>1346</v>
      </c>
      <c r="Z214" s="7" t="s">
        <v>132</v>
      </c>
      <c r="AA214" s="8" t="s">
        <v>133</v>
      </c>
      <c r="AB214" s="9" t="n">
        <v>305</v>
      </c>
      <c r="AC214" s="8" t="s">
        <v>1002</v>
      </c>
    </row>
    <row r="215" customFormat="false" ht="112.5" hidden="false" customHeight="true" outlineLevel="0" collapsed="false">
      <c r="A215" s="12" t="s">
        <v>1092</v>
      </c>
      <c r="B215" s="8" t="s">
        <v>1047</v>
      </c>
      <c r="C215" s="8" t="s">
        <v>1347</v>
      </c>
      <c r="D215" s="8" t="s">
        <v>1348</v>
      </c>
      <c r="E215" s="8" t="s">
        <v>1349</v>
      </c>
      <c r="F215" s="8" t="s">
        <v>1350</v>
      </c>
      <c r="G215" s="8" t="s">
        <v>409</v>
      </c>
      <c r="H215" s="8" t="str">
        <f aca="false">IF(COUNTIF(M215:R215,"M")&gt;0,"Must Have",IF(COUNTIF(M215:R215,"S")&gt;0,"Should Have",IF(COUNTIF(M215:R215,"C")&gt;0,"Could Have",IF(COUNTA(M215:R215)&gt;0,"Stated – no priority","Aurigo-only (no RFP source)"))))</f>
        <v>Must Have</v>
      </c>
      <c r="I215" s="12" t="n">
        <f aca="false">COUNTA(M215:R215)</f>
        <v>5</v>
      </c>
      <c r="J215" s="12" t="n">
        <f aca="false">COUNTIF(M215:R215,"M")</f>
        <v>5</v>
      </c>
      <c r="K215" s="8" t="str">
        <f aca="false">IF(I215=0,"Aurigo-only",IF(I215=1,"Single source",IF(I215=2,"Two sources",IF(I215&lt;=4,"Common (3-4)","Broad (5+)"))))</f>
        <v>Broad (5+)</v>
      </c>
      <c r="L215" s="8" t="str">
        <f aca="false">IF(J215&gt;=3,"Tier 1: Must in 3+ sources",IF(J215=2,"Tier 2: Must in 2 sources",IF(J215=1,"Tier 3: Must in 1 source",IF(COUNTIF(M215:R215,"S")&gt;0,"Tier 4: Should only",IF(COUNTIF(M215:R215,"C")&gt;0,"Tier 5: Could only",IF(I215&gt;0,"Tier 6: stated, no priority","Aurigo-only"))))))</f>
        <v>Tier 1: Must in 3+ sources</v>
      </c>
      <c r="M215" s="12" t="s">
        <v>194</v>
      </c>
      <c r="N215" s="12" t="s">
        <v>194</v>
      </c>
      <c r="O215" s="12" t="s">
        <v>194</v>
      </c>
      <c r="P215" s="12"/>
      <c r="Q215" s="12" t="s">
        <v>194</v>
      </c>
      <c r="R215" s="12" t="s">
        <v>194</v>
      </c>
      <c r="S215" s="8" t="s">
        <v>1351</v>
      </c>
      <c r="T215" s="8"/>
      <c r="U215" s="8"/>
      <c r="V215" s="8" t="s">
        <v>197</v>
      </c>
      <c r="W215" s="8" t="s">
        <v>1352</v>
      </c>
      <c r="X215" s="8"/>
      <c r="Y215" s="8" t="s">
        <v>1220</v>
      </c>
      <c r="Z215" s="7" t="s">
        <v>34</v>
      </c>
      <c r="AA215" s="8" t="s">
        <v>35</v>
      </c>
      <c r="AB215" s="9" t="n">
        <v>6</v>
      </c>
      <c r="AC215" s="8" t="s">
        <v>639</v>
      </c>
    </row>
    <row r="216" customFormat="false" ht="37.5" hidden="false" customHeight="true" outlineLevel="0" collapsed="false">
      <c r="A216" s="12" t="s">
        <v>1353</v>
      </c>
      <c r="B216" s="8" t="s">
        <v>1047</v>
      </c>
      <c r="C216" s="8" t="s">
        <v>1347</v>
      </c>
      <c r="D216" s="8" t="s">
        <v>1348</v>
      </c>
      <c r="E216" s="8" t="s">
        <v>1354</v>
      </c>
      <c r="F216" s="8" t="s">
        <v>1355</v>
      </c>
      <c r="G216" s="8" t="s">
        <v>409</v>
      </c>
      <c r="H216" s="8" t="str">
        <f aca="false">IF(COUNTIF(M216:R216,"M")&gt;0,"Must Have",IF(COUNTIF(M216:R216,"S")&gt;0,"Should Have",IF(COUNTIF(M216:R216,"C")&gt;0,"Could Have",IF(COUNTA(M216:R216)&gt;0,"Stated – no priority","Aurigo-only (no RFP source)"))))</f>
        <v>Must Have</v>
      </c>
      <c r="I216" s="12" t="n">
        <f aca="false">COUNTA(M216:R216)</f>
        <v>2</v>
      </c>
      <c r="J216" s="12" t="n">
        <f aca="false">COUNTIF(M216:R216,"M")</f>
        <v>2</v>
      </c>
      <c r="K216" s="8" t="str">
        <f aca="false">IF(I216=0,"Aurigo-only",IF(I216=1,"Single source",IF(I216=2,"Two sources",IF(I216&lt;=4,"Common (3-4)","Broad (5+)"))))</f>
        <v>Two sources</v>
      </c>
      <c r="L216" s="8" t="str">
        <f aca="false">IF(J216&gt;=3,"Tier 1: Must in 3+ sources",IF(J216=2,"Tier 2: Must in 2 sources",IF(J216=1,"Tier 3: Must in 1 source",IF(COUNTIF(M216:R216,"S")&gt;0,"Tier 4: Should only",IF(COUNTIF(M216:R216,"C")&gt;0,"Tier 5: Could only",IF(I216&gt;0,"Tier 6: stated, no priority","Aurigo-only"))))))</f>
        <v>Tier 2: Must in 2 sources</v>
      </c>
      <c r="M216" s="12" t="s">
        <v>194</v>
      </c>
      <c r="N216" s="12" t="s">
        <v>194</v>
      </c>
      <c r="O216" s="12"/>
      <c r="P216" s="12"/>
      <c r="Q216" s="12"/>
      <c r="R216" s="12"/>
      <c r="S216" s="8" t="s">
        <v>1356</v>
      </c>
      <c r="T216" s="8"/>
      <c r="U216" s="8"/>
      <c r="V216" s="8" t="s">
        <v>204</v>
      </c>
      <c r="W216" s="8" t="s">
        <v>205</v>
      </c>
      <c r="X216" s="8"/>
      <c r="Y216" s="8"/>
      <c r="Z216" s="7" t="s">
        <v>34</v>
      </c>
      <c r="AA216" s="8" t="s">
        <v>35</v>
      </c>
      <c r="AB216" s="9" t="n">
        <v>9</v>
      </c>
      <c r="AC216" s="8" t="s">
        <v>1092</v>
      </c>
    </row>
    <row r="217" customFormat="false" ht="124.5" hidden="false" customHeight="true" outlineLevel="0" collapsed="false">
      <c r="A217" s="12" t="s">
        <v>1357</v>
      </c>
      <c r="B217" s="8" t="s">
        <v>1047</v>
      </c>
      <c r="C217" s="8" t="s">
        <v>1347</v>
      </c>
      <c r="D217" s="8" t="s">
        <v>1358</v>
      </c>
      <c r="E217" s="8" t="s">
        <v>1359</v>
      </c>
      <c r="F217" s="8" t="s">
        <v>1360</v>
      </c>
      <c r="G217" s="8" t="s">
        <v>409</v>
      </c>
      <c r="H217" s="8" t="str">
        <f aca="false">IF(COUNTIF(M217:R217,"M")&gt;0,"Must Have",IF(COUNTIF(M217:R217,"S")&gt;0,"Should Have",IF(COUNTIF(M217:R217,"C")&gt;0,"Could Have",IF(COUNTA(M217:R217)&gt;0,"Stated – no priority","Aurigo-only (no RFP source)"))))</f>
        <v>Must Have</v>
      </c>
      <c r="I217" s="12" t="n">
        <f aca="false">COUNTA(M217:R217)</f>
        <v>5</v>
      </c>
      <c r="J217" s="12" t="n">
        <f aca="false">COUNTIF(M217:R217,"M")</f>
        <v>5</v>
      </c>
      <c r="K217" s="8" t="str">
        <f aca="false">IF(I217=0,"Aurigo-only",IF(I217=1,"Single source",IF(I217=2,"Two sources",IF(I217&lt;=4,"Common (3-4)","Broad (5+)"))))</f>
        <v>Broad (5+)</v>
      </c>
      <c r="L217" s="8" t="str">
        <f aca="false">IF(J217&gt;=3,"Tier 1: Must in 3+ sources",IF(J217=2,"Tier 2: Must in 2 sources",IF(J217=1,"Tier 3: Must in 1 source",IF(COUNTIF(M217:R217,"S")&gt;0,"Tier 4: Should only",IF(COUNTIF(M217:R217,"C")&gt;0,"Tier 5: Could only",IF(I217&gt;0,"Tier 6: stated, no priority","Aurigo-only"))))))</f>
        <v>Tier 1: Must in 3+ sources</v>
      </c>
      <c r="M217" s="12" t="s">
        <v>194</v>
      </c>
      <c r="N217" s="12" t="s">
        <v>194</v>
      </c>
      <c r="O217" s="12" t="s">
        <v>194</v>
      </c>
      <c r="P217" s="12"/>
      <c r="Q217" s="12" t="s">
        <v>194</v>
      </c>
      <c r="R217" s="12" t="s">
        <v>194</v>
      </c>
      <c r="S217" s="8" t="s">
        <v>1361</v>
      </c>
      <c r="T217" s="8" t="s">
        <v>1362</v>
      </c>
      <c r="U217" s="8"/>
      <c r="V217" s="8" t="s">
        <v>204</v>
      </c>
      <c r="W217" s="8" t="s">
        <v>205</v>
      </c>
      <c r="X217" s="8"/>
      <c r="Y217" s="8" t="s">
        <v>1363</v>
      </c>
      <c r="Z217" s="7" t="s">
        <v>34</v>
      </c>
      <c r="AA217" s="8" t="s">
        <v>35</v>
      </c>
      <c r="AB217" s="9" t="n">
        <v>7</v>
      </c>
      <c r="AC217" s="8" t="s">
        <v>1092</v>
      </c>
    </row>
    <row r="218" customFormat="false" ht="37.5" hidden="false" customHeight="true" outlineLevel="0" collapsed="false">
      <c r="A218" s="12" t="s">
        <v>1364</v>
      </c>
      <c r="B218" s="8" t="s">
        <v>1047</v>
      </c>
      <c r="C218" s="8" t="s">
        <v>1347</v>
      </c>
      <c r="D218" s="8" t="s">
        <v>1358</v>
      </c>
      <c r="E218" s="8" t="s">
        <v>1365</v>
      </c>
      <c r="F218" s="8" t="s">
        <v>1366</v>
      </c>
      <c r="G218" s="8" t="s">
        <v>409</v>
      </c>
      <c r="H218" s="8" t="str">
        <f aca="false">IF(COUNTIF(M218:R218,"M")&gt;0,"Must Have",IF(COUNTIF(M218:R218,"S")&gt;0,"Should Have",IF(COUNTIF(M218:R218,"C")&gt;0,"Could Have",IF(COUNTA(M218:R218)&gt;0,"Stated – no priority","Aurigo-only (no RFP source)"))))</f>
        <v>Must Have</v>
      </c>
      <c r="I218" s="12" t="n">
        <f aca="false">COUNTA(M218:R218)</f>
        <v>1</v>
      </c>
      <c r="J218" s="12" t="n">
        <f aca="false">COUNTIF(M218:R218,"M")</f>
        <v>1</v>
      </c>
      <c r="K218" s="8" t="str">
        <f aca="false">IF(I218=0,"Aurigo-only",IF(I218=1,"Single source",IF(I218=2,"Two sources",IF(I218&lt;=4,"Common (3-4)","Broad (5+)"))))</f>
        <v>Single source</v>
      </c>
      <c r="L218" s="8" t="str">
        <f aca="false">IF(J218&gt;=3,"Tier 1: Must in 3+ sources",IF(J218=2,"Tier 2: Must in 2 sources",IF(J218=1,"Tier 3: Must in 1 source",IF(COUNTIF(M218:R218,"S")&gt;0,"Tier 4: Should only",IF(COUNTIF(M218:R218,"C")&gt;0,"Tier 5: Could only",IF(I218&gt;0,"Tier 6: stated, no priority","Aurigo-only"))))))</f>
        <v>Tier 3: Must in 1 source</v>
      </c>
      <c r="M218" s="12" t="s">
        <v>194</v>
      </c>
      <c r="N218" s="12"/>
      <c r="O218" s="12"/>
      <c r="P218" s="12"/>
      <c r="Q218" s="12"/>
      <c r="R218" s="12"/>
      <c r="S218" s="8" t="s">
        <v>1367</v>
      </c>
      <c r="T218" s="8" t="s">
        <v>1368</v>
      </c>
      <c r="U218" s="8"/>
      <c r="V218" s="8" t="s">
        <v>204</v>
      </c>
      <c r="W218" s="8" t="s">
        <v>205</v>
      </c>
      <c r="X218" s="8"/>
      <c r="Y218" s="8"/>
      <c r="Z218" s="7" t="s">
        <v>123</v>
      </c>
      <c r="AA218" s="8" t="s">
        <v>124</v>
      </c>
      <c r="AB218" s="9" t="n">
        <v>288</v>
      </c>
      <c r="AC218" s="8" t="s">
        <v>1369</v>
      </c>
    </row>
    <row r="219" customFormat="false" ht="75" hidden="false" customHeight="true" outlineLevel="0" collapsed="false">
      <c r="A219" s="12" t="s">
        <v>1370</v>
      </c>
      <c r="B219" s="8" t="s">
        <v>1047</v>
      </c>
      <c r="C219" s="8" t="s">
        <v>1347</v>
      </c>
      <c r="D219" s="8" t="s">
        <v>1371</v>
      </c>
      <c r="E219" s="8" t="s">
        <v>1372</v>
      </c>
      <c r="F219" s="8" t="s">
        <v>1373</v>
      </c>
      <c r="G219" s="8" t="s">
        <v>409</v>
      </c>
      <c r="H219" s="8" t="str">
        <f aca="false">IF(COUNTIF(M219:R219,"M")&gt;0,"Must Have",IF(COUNTIF(M219:R219,"S")&gt;0,"Should Have",IF(COUNTIF(M219:R219,"C")&gt;0,"Could Have",IF(COUNTA(M219:R219)&gt;0,"Stated – no priority","Aurigo-only (no RFP source)"))))</f>
        <v>Must Have</v>
      </c>
      <c r="I219" s="12" t="n">
        <f aca="false">COUNTA(M219:R219)</f>
        <v>4</v>
      </c>
      <c r="J219" s="12" t="n">
        <f aca="false">COUNTIF(M219:R219,"M")</f>
        <v>4</v>
      </c>
      <c r="K219" s="8" t="str">
        <f aca="false">IF(I219=0,"Aurigo-only",IF(I219=1,"Single source",IF(I219=2,"Two sources",IF(I219&lt;=4,"Common (3-4)","Broad (5+)"))))</f>
        <v>Common (3-4)</v>
      </c>
      <c r="L219" s="8" t="str">
        <f aca="false">IF(J219&gt;=3,"Tier 1: Must in 3+ sources",IF(J219=2,"Tier 2: Must in 2 sources",IF(J219=1,"Tier 3: Must in 1 source",IF(COUNTIF(M219:R219,"S")&gt;0,"Tier 4: Should only",IF(COUNTIF(M219:R219,"C")&gt;0,"Tier 5: Could only",IF(I219&gt;0,"Tier 6: stated, no priority","Aurigo-only"))))))</f>
        <v>Tier 1: Must in 3+ sources</v>
      </c>
      <c r="M219" s="12" t="s">
        <v>194</v>
      </c>
      <c r="N219" s="12" t="s">
        <v>194</v>
      </c>
      <c r="O219" s="12" t="s">
        <v>194</v>
      </c>
      <c r="P219" s="12"/>
      <c r="Q219" s="12"/>
      <c r="R219" s="12" t="s">
        <v>194</v>
      </c>
      <c r="S219" s="8" t="s">
        <v>1374</v>
      </c>
      <c r="T219" s="8" t="s">
        <v>1375</v>
      </c>
      <c r="U219" s="8"/>
      <c r="V219" s="8" t="s">
        <v>204</v>
      </c>
      <c r="W219" s="8" t="s">
        <v>205</v>
      </c>
      <c r="X219" s="8"/>
      <c r="Y219" s="8" t="s">
        <v>934</v>
      </c>
      <c r="Z219" s="7" t="s">
        <v>83</v>
      </c>
      <c r="AA219" s="8" t="s">
        <v>84</v>
      </c>
      <c r="AB219" s="9" t="n">
        <v>186</v>
      </c>
      <c r="AC219" s="8" t="s">
        <v>1376</v>
      </c>
    </row>
    <row r="220" customFormat="false" ht="62.25" hidden="false" customHeight="true" outlineLevel="0" collapsed="false">
      <c r="A220" s="12" t="s">
        <v>1377</v>
      </c>
      <c r="B220" s="8" t="s">
        <v>1047</v>
      </c>
      <c r="C220" s="8" t="s">
        <v>1347</v>
      </c>
      <c r="D220" s="8" t="s">
        <v>1371</v>
      </c>
      <c r="E220" s="8" t="s">
        <v>1378</v>
      </c>
      <c r="F220" s="8" t="s">
        <v>1379</v>
      </c>
      <c r="G220" s="8" t="s">
        <v>409</v>
      </c>
      <c r="H220" s="8" t="str">
        <f aca="false">IF(COUNTIF(M220:R220,"M")&gt;0,"Must Have",IF(COUNTIF(M220:R220,"S")&gt;0,"Should Have",IF(COUNTIF(M220:R220,"C")&gt;0,"Could Have",IF(COUNTA(M220:R220)&gt;0,"Stated – no priority","Aurigo-only (no RFP source)"))))</f>
        <v>Must Have</v>
      </c>
      <c r="I220" s="12" t="n">
        <f aca="false">COUNTA(M220:R220)</f>
        <v>3</v>
      </c>
      <c r="J220" s="12" t="n">
        <f aca="false">COUNTIF(M220:R220,"M")</f>
        <v>3</v>
      </c>
      <c r="K220" s="8" t="str">
        <f aca="false">IF(I220=0,"Aurigo-only",IF(I220=1,"Single source",IF(I220=2,"Two sources",IF(I220&lt;=4,"Common (3-4)","Broad (5+)"))))</f>
        <v>Common (3-4)</v>
      </c>
      <c r="L220" s="8" t="str">
        <f aca="false">IF(J220&gt;=3,"Tier 1: Must in 3+ sources",IF(J220=2,"Tier 2: Must in 2 sources",IF(J220=1,"Tier 3: Must in 1 source",IF(COUNTIF(M220:R220,"S")&gt;0,"Tier 4: Should only",IF(COUNTIF(M220:R220,"C")&gt;0,"Tier 5: Could only",IF(I220&gt;0,"Tier 6: stated, no priority","Aurigo-only"))))))</f>
        <v>Tier 1: Must in 3+ sources</v>
      </c>
      <c r="M220" s="12"/>
      <c r="N220" s="12" t="s">
        <v>194</v>
      </c>
      <c r="O220" s="12"/>
      <c r="P220" s="12"/>
      <c r="Q220" s="12" t="s">
        <v>194</v>
      </c>
      <c r="R220" s="12" t="s">
        <v>194</v>
      </c>
      <c r="S220" s="8" t="s">
        <v>1380</v>
      </c>
      <c r="T220" s="8" t="s">
        <v>1381</v>
      </c>
      <c r="U220" s="8"/>
      <c r="V220" s="8" t="s">
        <v>204</v>
      </c>
      <c r="W220" s="8" t="s">
        <v>205</v>
      </c>
      <c r="X220" s="8"/>
      <c r="Y220" s="8"/>
      <c r="Z220" s="7" t="s">
        <v>123</v>
      </c>
      <c r="AA220" s="8" t="s">
        <v>124</v>
      </c>
      <c r="AB220" s="9" t="n">
        <v>289</v>
      </c>
      <c r="AC220" s="8" t="s">
        <v>1370</v>
      </c>
    </row>
    <row r="221" customFormat="false" ht="49.5" hidden="false" customHeight="true" outlineLevel="0" collapsed="false">
      <c r="A221" s="12" t="s">
        <v>1382</v>
      </c>
      <c r="B221" s="8" t="s">
        <v>1047</v>
      </c>
      <c r="C221" s="8" t="s">
        <v>1347</v>
      </c>
      <c r="D221" s="8" t="s">
        <v>1371</v>
      </c>
      <c r="E221" s="8" t="s">
        <v>1383</v>
      </c>
      <c r="F221" s="8" t="s">
        <v>1384</v>
      </c>
      <c r="G221" s="8" t="s">
        <v>409</v>
      </c>
      <c r="H221" s="8" t="str">
        <f aca="false">IF(COUNTIF(M221:R221,"M")&gt;0,"Must Have",IF(COUNTIF(M221:R221,"S")&gt;0,"Should Have",IF(COUNTIF(M221:R221,"C")&gt;0,"Could Have",IF(COUNTA(M221:R221)&gt;0,"Stated – no priority","Aurigo-only (no RFP source)"))))</f>
        <v>Must Have</v>
      </c>
      <c r="I221" s="12" t="n">
        <f aca="false">COUNTA(M221:R221)</f>
        <v>2</v>
      </c>
      <c r="J221" s="12" t="n">
        <f aca="false">COUNTIF(M221:R221,"M")</f>
        <v>2</v>
      </c>
      <c r="K221" s="8" t="str">
        <f aca="false">IF(I221=0,"Aurigo-only",IF(I221=1,"Single source",IF(I221=2,"Two sources",IF(I221&lt;=4,"Common (3-4)","Broad (5+)"))))</f>
        <v>Two sources</v>
      </c>
      <c r="L221" s="8" t="str">
        <f aca="false">IF(J221&gt;=3,"Tier 1: Must in 3+ sources",IF(J221=2,"Tier 2: Must in 2 sources",IF(J221=1,"Tier 3: Must in 1 source",IF(COUNTIF(M221:R221,"S")&gt;0,"Tier 4: Should only",IF(COUNTIF(M221:R221,"C")&gt;0,"Tier 5: Could only",IF(I221&gt;0,"Tier 6: stated, no priority","Aurigo-only"))))))</f>
        <v>Tier 2: Must in 2 sources</v>
      </c>
      <c r="M221" s="12"/>
      <c r="N221" s="12" t="s">
        <v>194</v>
      </c>
      <c r="O221" s="12"/>
      <c r="P221" s="12"/>
      <c r="Q221" s="12" t="s">
        <v>194</v>
      </c>
      <c r="R221" s="12"/>
      <c r="S221" s="8" t="s">
        <v>1385</v>
      </c>
      <c r="T221" s="8"/>
      <c r="U221" s="8"/>
      <c r="V221" s="8" t="s">
        <v>204</v>
      </c>
      <c r="W221" s="8" t="s">
        <v>205</v>
      </c>
      <c r="X221" s="8"/>
      <c r="Y221" s="8"/>
      <c r="Z221" s="7" t="s">
        <v>34</v>
      </c>
      <c r="AA221" s="8" t="s">
        <v>35</v>
      </c>
      <c r="AB221" s="9" t="n">
        <v>10</v>
      </c>
      <c r="AC221" s="8" t="s">
        <v>1092</v>
      </c>
    </row>
    <row r="222" customFormat="false" ht="112.5" hidden="false" customHeight="true" outlineLevel="0" collapsed="false">
      <c r="A222" s="12" t="s">
        <v>1386</v>
      </c>
      <c r="B222" s="8" t="s">
        <v>1047</v>
      </c>
      <c r="C222" s="8" t="s">
        <v>1387</v>
      </c>
      <c r="D222" s="8" t="s">
        <v>1388</v>
      </c>
      <c r="E222" s="8" t="s">
        <v>1389</v>
      </c>
      <c r="F222" s="8" t="s">
        <v>1390</v>
      </c>
      <c r="G222" s="8" t="s">
        <v>409</v>
      </c>
      <c r="H222" s="8" t="str">
        <f aca="false">IF(COUNTIF(M222:R222,"M")&gt;0,"Must Have",IF(COUNTIF(M222:R222,"S")&gt;0,"Should Have",IF(COUNTIF(M222:R222,"C")&gt;0,"Could Have",IF(COUNTA(M222:R222)&gt;0,"Stated – no priority","Aurigo-only (no RFP source)"))))</f>
        <v>Must Have</v>
      </c>
      <c r="I222" s="12" t="n">
        <f aca="false">COUNTA(M222:R222)</f>
        <v>5</v>
      </c>
      <c r="J222" s="12" t="n">
        <f aca="false">COUNTIF(M222:R222,"M")</f>
        <v>4</v>
      </c>
      <c r="K222" s="8" t="str">
        <f aca="false">IF(I222=0,"Aurigo-only",IF(I222=1,"Single source",IF(I222=2,"Two sources",IF(I222&lt;=4,"Common (3-4)","Broad (5+)"))))</f>
        <v>Broad (5+)</v>
      </c>
      <c r="L222" s="8" t="str">
        <f aca="false">IF(J222&gt;=3,"Tier 1: Must in 3+ sources",IF(J222=2,"Tier 2: Must in 2 sources",IF(J222=1,"Tier 3: Must in 1 source",IF(COUNTIF(M222:R222,"S")&gt;0,"Tier 4: Should only",IF(COUNTIF(M222:R222,"C")&gt;0,"Tier 5: Could only",IF(I222&gt;0,"Tier 6: stated, no priority","Aurigo-only"))))))</f>
        <v>Tier 1: Must in 3+ sources</v>
      </c>
      <c r="M222" s="12"/>
      <c r="N222" s="12" t="s">
        <v>194</v>
      </c>
      <c r="O222" s="12" t="s">
        <v>194</v>
      </c>
      <c r="P222" s="12" t="s">
        <v>195</v>
      </c>
      <c r="Q222" s="12" t="s">
        <v>194</v>
      </c>
      <c r="R222" s="12" t="s">
        <v>194</v>
      </c>
      <c r="S222" s="8" t="s">
        <v>1391</v>
      </c>
      <c r="T222" s="8"/>
      <c r="U222" s="8"/>
      <c r="V222" s="8" t="s">
        <v>214</v>
      </c>
      <c r="W222" s="8" t="s">
        <v>1392</v>
      </c>
      <c r="X222" s="8"/>
      <c r="Y222" s="8"/>
      <c r="Z222" s="7" t="s">
        <v>34</v>
      </c>
      <c r="AA222" s="8" t="s">
        <v>35</v>
      </c>
      <c r="AB222" s="9" t="n">
        <v>1</v>
      </c>
      <c r="AC222" s="8" t="s">
        <v>643</v>
      </c>
    </row>
    <row r="223" customFormat="false" ht="75" hidden="false" customHeight="true" outlineLevel="0" collapsed="false">
      <c r="A223" s="12" t="s">
        <v>1393</v>
      </c>
      <c r="B223" s="8" t="s">
        <v>1047</v>
      </c>
      <c r="C223" s="8" t="s">
        <v>1387</v>
      </c>
      <c r="D223" s="8" t="s">
        <v>1394</v>
      </c>
      <c r="E223" s="8" t="s">
        <v>1395</v>
      </c>
      <c r="F223" s="8" t="s">
        <v>1396</v>
      </c>
      <c r="G223" s="8" t="s">
        <v>409</v>
      </c>
      <c r="H223" s="8" t="str">
        <f aca="false">IF(COUNTIF(M223:R223,"M")&gt;0,"Must Have",IF(COUNTIF(M223:R223,"S")&gt;0,"Should Have",IF(COUNTIF(M223:R223,"C")&gt;0,"Could Have",IF(COUNTA(M223:R223)&gt;0,"Stated – no priority","Aurigo-only (no RFP source)"))))</f>
        <v>Must Have</v>
      </c>
      <c r="I223" s="12" t="n">
        <f aca="false">COUNTA(M223:R223)</f>
        <v>4</v>
      </c>
      <c r="J223" s="12" t="n">
        <f aca="false">COUNTIF(M223:R223,"M")</f>
        <v>4</v>
      </c>
      <c r="K223" s="8" t="str">
        <f aca="false">IF(I223=0,"Aurigo-only",IF(I223=1,"Single source",IF(I223=2,"Two sources",IF(I223&lt;=4,"Common (3-4)","Broad (5+)"))))</f>
        <v>Common (3-4)</v>
      </c>
      <c r="L223" s="8" t="str">
        <f aca="false">IF(J223&gt;=3,"Tier 1: Must in 3+ sources",IF(J223=2,"Tier 2: Must in 2 sources",IF(J223=1,"Tier 3: Must in 1 source",IF(COUNTIF(M223:R223,"S")&gt;0,"Tier 4: Should only",IF(COUNTIF(M223:R223,"C")&gt;0,"Tier 5: Could only",IF(I223&gt;0,"Tier 6: stated, no priority","Aurigo-only"))))))</f>
        <v>Tier 1: Must in 3+ sources</v>
      </c>
      <c r="M223" s="12"/>
      <c r="N223" s="12" t="s">
        <v>194</v>
      </c>
      <c r="O223" s="12" t="s">
        <v>194</v>
      </c>
      <c r="P223" s="12"/>
      <c r="Q223" s="12" t="s">
        <v>194</v>
      </c>
      <c r="R223" s="12" t="s">
        <v>194</v>
      </c>
      <c r="S223" s="8" t="s">
        <v>1397</v>
      </c>
      <c r="T223" s="8"/>
      <c r="U223" s="8"/>
      <c r="V223" s="8" t="s">
        <v>204</v>
      </c>
      <c r="W223" s="8" t="s">
        <v>205</v>
      </c>
      <c r="X223" s="8"/>
      <c r="Y223" s="8"/>
      <c r="Z223" s="7" t="s">
        <v>83</v>
      </c>
      <c r="AA223" s="8" t="s">
        <v>84</v>
      </c>
      <c r="AB223" s="9" t="n">
        <v>187</v>
      </c>
      <c r="AC223" s="8" t="s">
        <v>1386</v>
      </c>
    </row>
    <row r="224" customFormat="false" ht="112.5" hidden="false" customHeight="true" outlineLevel="0" collapsed="false">
      <c r="A224" s="12" t="s">
        <v>1398</v>
      </c>
      <c r="B224" s="8" t="s">
        <v>1047</v>
      </c>
      <c r="C224" s="8" t="s">
        <v>1387</v>
      </c>
      <c r="D224" s="8" t="s">
        <v>1399</v>
      </c>
      <c r="E224" s="8" t="s">
        <v>1400</v>
      </c>
      <c r="F224" s="8" t="s">
        <v>1401</v>
      </c>
      <c r="G224" s="8" t="s">
        <v>409</v>
      </c>
      <c r="H224" s="8" t="str">
        <f aca="false">IF(COUNTIF(M224:R224,"M")&gt;0,"Must Have",IF(COUNTIF(M224:R224,"S")&gt;0,"Should Have",IF(COUNTIF(M224:R224,"C")&gt;0,"Could Have",IF(COUNTA(M224:R224)&gt;0,"Stated – no priority","Aurigo-only (no RFP source)"))))</f>
        <v>Must Have</v>
      </c>
      <c r="I224" s="12" t="n">
        <f aca="false">COUNTA(M224:R224)</f>
        <v>4</v>
      </c>
      <c r="J224" s="12" t="n">
        <f aca="false">COUNTIF(M224:R224,"M")</f>
        <v>3</v>
      </c>
      <c r="K224" s="8" t="str">
        <f aca="false">IF(I224=0,"Aurigo-only",IF(I224=1,"Single source",IF(I224=2,"Two sources",IF(I224&lt;=4,"Common (3-4)","Broad (5+)"))))</f>
        <v>Common (3-4)</v>
      </c>
      <c r="L224" s="8" t="str">
        <f aca="false">IF(J224&gt;=3,"Tier 1: Must in 3+ sources",IF(J224=2,"Tier 2: Must in 2 sources",IF(J224=1,"Tier 3: Must in 1 source",IF(COUNTIF(M224:R224,"S")&gt;0,"Tier 4: Should only",IF(COUNTIF(M224:R224,"C")&gt;0,"Tier 5: Could only",IF(I224&gt;0,"Tier 6: stated, no priority","Aurigo-only"))))))</f>
        <v>Tier 1: Must in 3+ sources</v>
      </c>
      <c r="M224" s="12" t="s">
        <v>194</v>
      </c>
      <c r="N224" s="12" t="s">
        <v>194</v>
      </c>
      <c r="O224" s="12"/>
      <c r="P224" s="12"/>
      <c r="Q224" s="12" t="s">
        <v>232</v>
      </c>
      <c r="R224" s="12" t="s">
        <v>194</v>
      </c>
      <c r="S224" s="8" t="s">
        <v>1402</v>
      </c>
      <c r="T224" s="8"/>
      <c r="U224" s="8"/>
      <c r="V224" s="8" t="s">
        <v>204</v>
      </c>
      <c r="W224" s="8" t="s">
        <v>205</v>
      </c>
      <c r="X224" s="8"/>
      <c r="Y224" s="8"/>
      <c r="Z224" s="7" t="s">
        <v>83</v>
      </c>
      <c r="AA224" s="8" t="s">
        <v>84</v>
      </c>
      <c r="AB224" s="9" t="n">
        <v>189</v>
      </c>
      <c r="AC224" s="8" t="s">
        <v>1386</v>
      </c>
    </row>
    <row r="225" customFormat="false" ht="87" hidden="false" customHeight="true" outlineLevel="0" collapsed="false">
      <c r="A225" s="12" t="s">
        <v>1403</v>
      </c>
      <c r="B225" s="8" t="s">
        <v>1047</v>
      </c>
      <c r="C225" s="8" t="s">
        <v>1387</v>
      </c>
      <c r="D225" s="8" t="s">
        <v>1404</v>
      </c>
      <c r="E225" s="8" t="s">
        <v>1405</v>
      </c>
      <c r="F225" s="8" t="s">
        <v>1406</v>
      </c>
      <c r="G225" s="8" t="s">
        <v>409</v>
      </c>
      <c r="H225" s="8" t="str">
        <f aca="false">IF(COUNTIF(M225:R225,"M")&gt;0,"Must Have",IF(COUNTIF(M225:R225,"S")&gt;0,"Should Have",IF(COUNTIF(M225:R225,"C")&gt;0,"Could Have",IF(COUNTA(M225:R225)&gt;0,"Stated – no priority","Aurigo-only (no RFP source)"))))</f>
        <v>Must Have</v>
      </c>
      <c r="I225" s="12" t="n">
        <f aca="false">COUNTA(M225:R225)</f>
        <v>4</v>
      </c>
      <c r="J225" s="12" t="n">
        <f aca="false">COUNTIF(M225:R225,"M")</f>
        <v>3</v>
      </c>
      <c r="K225" s="8" t="str">
        <f aca="false">IF(I225=0,"Aurigo-only",IF(I225=1,"Single source",IF(I225=2,"Two sources",IF(I225&lt;=4,"Common (3-4)","Broad (5+)"))))</f>
        <v>Common (3-4)</v>
      </c>
      <c r="L225" s="8" t="str">
        <f aca="false">IF(J225&gt;=3,"Tier 1: Must in 3+ sources",IF(J225=2,"Tier 2: Must in 2 sources",IF(J225=1,"Tier 3: Must in 1 source",IF(COUNTIF(M225:R225,"S")&gt;0,"Tier 4: Should only",IF(COUNTIF(M225:R225,"C")&gt;0,"Tier 5: Could only",IF(I225&gt;0,"Tier 6: stated, no priority","Aurigo-only"))))))</f>
        <v>Tier 1: Must in 3+ sources</v>
      </c>
      <c r="M225" s="12" t="s">
        <v>194</v>
      </c>
      <c r="N225" s="12" t="s">
        <v>194</v>
      </c>
      <c r="O225" s="12"/>
      <c r="P225" s="12"/>
      <c r="Q225" s="12" t="s">
        <v>194</v>
      </c>
      <c r="R225" s="12" t="s">
        <v>232</v>
      </c>
      <c r="S225" s="8" t="s">
        <v>1407</v>
      </c>
      <c r="T225" s="8"/>
      <c r="U225" s="8"/>
      <c r="V225" s="8" t="s">
        <v>204</v>
      </c>
      <c r="W225" s="8" t="s">
        <v>205</v>
      </c>
      <c r="X225" s="8"/>
      <c r="Y225" s="8"/>
      <c r="Z225" s="7" t="s">
        <v>83</v>
      </c>
      <c r="AA225" s="8" t="s">
        <v>84</v>
      </c>
      <c r="AB225" s="9" t="n">
        <v>188</v>
      </c>
      <c r="AC225" s="8" t="s">
        <v>1386</v>
      </c>
    </row>
    <row r="226" customFormat="false" ht="37.5" hidden="false" customHeight="true" outlineLevel="0" collapsed="false">
      <c r="A226" s="12" t="s">
        <v>1408</v>
      </c>
      <c r="B226" s="8" t="s">
        <v>1047</v>
      </c>
      <c r="C226" s="8" t="s">
        <v>1387</v>
      </c>
      <c r="D226" s="8" t="s">
        <v>1409</v>
      </c>
      <c r="E226" s="8" t="s">
        <v>1410</v>
      </c>
      <c r="F226" s="8" t="s">
        <v>1411</v>
      </c>
      <c r="G226" s="8" t="s">
        <v>409</v>
      </c>
      <c r="H226" s="8" t="str">
        <f aca="false">IF(COUNTIF(M226:R226,"M")&gt;0,"Must Have",IF(COUNTIF(M226:R226,"S")&gt;0,"Should Have",IF(COUNTIF(M226:R226,"C")&gt;0,"Could Have",IF(COUNTA(M226:R226)&gt;0,"Stated – no priority","Aurigo-only (no RFP source)"))))</f>
        <v>Must Have</v>
      </c>
      <c r="I226" s="12" t="n">
        <f aca="false">COUNTA(M226:R226)</f>
        <v>2</v>
      </c>
      <c r="J226" s="12" t="n">
        <f aca="false">COUNTIF(M226:R226,"M")</f>
        <v>2</v>
      </c>
      <c r="K226" s="8" t="str">
        <f aca="false">IF(I226=0,"Aurigo-only",IF(I226=1,"Single source",IF(I226=2,"Two sources",IF(I226&lt;=4,"Common (3-4)","Broad (5+)"))))</f>
        <v>Two sources</v>
      </c>
      <c r="L226" s="8" t="str">
        <f aca="false">IF(J226&gt;=3,"Tier 1: Must in 3+ sources",IF(J226=2,"Tier 2: Must in 2 sources",IF(J226=1,"Tier 3: Must in 1 source",IF(COUNTIF(M226:R226,"S")&gt;0,"Tier 4: Should only",IF(COUNTIF(M226:R226,"C")&gt;0,"Tier 5: Could only",IF(I226&gt;0,"Tier 6: stated, no priority","Aurigo-only"))))))</f>
        <v>Tier 2: Must in 2 sources</v>
      </c>
      <c r="M226" s="12"/>
      <c r="N226" s="12" t="s">
        <v>194</v>
      </c>
      <c r="O226" s="12"/>
      <c r="P226" s="12"/>
      <c r="Q226" s="12"/>
      <c r="R226" s="12" t="s">
        <v>194</v>
      </c>
      <c r="S226" s="8" t="s">
        <v>1412</v>
      </c>
      <c r="T226" s="8"/>
      <c r="U226" s="8"/>
      <c r="V226" s="8" t="s">
        <v>197</v>
      </c>
      <c r="W226" s="8" t="s">
        <v>1413</v>
      </c>
      <c r="X226" s="8"/>
      <c r="Y226" s="8"/>
      <c r="Z226" s="7" t="s">
        <v>34</v>
      </c>
      <c r="AA226" s="8" t="s">
        <v>35</v>
      </c>
      <c r="AB226" s="9" t="n">
        <v>2</v>
      </c>
      <c r="AC226" s="8" t="s">
        <v>643</v>
      </c>
    </row>
    <row r="227" customFormat="false" ht="24.75" hidden="false" customHeight="true" outlineLevel="0" collapsed="false">
      <c r="A227" s="12" t="s">
        <v>1414</v>
      </c>
      <c r="B227" s="8" t="s">
        <v>1047</v>
      </c>
      <c r="C227" s="8" t="s">
        <v>1387</v>
      </c>
      <c r="D227" s="8" t="s">
        <v>1415</v>
      </c>
      <c r="E227" s="8" t="s">
        <v>1416</v>
      </c>
      <c r="F227" s="8" t="s">
        <v>1417</v>
      </c>
      <c r="G227" s="8" t="s">
        <v>409</v>
      </c>
      <c r="H227" s="8" t="str">
        <f aca="false">IF(COUNTIF(M227:R227,"M")&gt;0,"Must Have",IF(COUNTIF(M227:R227,"S")&gt;0,"Should Have",IF(COUNTIF(M227:R227,"C")&gt;0,"Could Have",IF(COUNTA(M227:R227)&gt;0,"Stated – no priority","Aurigo-only (no RFP source)"))))</f>
        <v>Should Have</v>
      </c>
      <c r="I227" s="12" t="n">
        <f aca="false">COUNTA(M227:R227)</f>
        <v>1</v>
      </c>
      <c r="J227" s="12" t="n">
        <f aca="false">COUNTIF(M227:R227,"M")</f>
        <v>0</v>
      </c>
      <c r="K227" s="8" t="str">
        <f aca="false">IF(I227=0,"Aurigo-only",IF(I227=1,"Single source",IF(I227=2,"Two sources",IF(I227&lt;=4,"Common (3-4)","Broad (5+)"))))</f>
        <v>Single source</v>
      </c>
      <c r="L227" s="8" t="str">
        <f aca="false">IF(J227&gt;=3,"Tier 1: Must in 3+ sources",IF(J227=2,"Tier 2: Must in 2 sources",IF(J227=1,"Tier 3: Must in 1 source",IF(COUNTIF(M227:R227,"S")&gt;0,"Tier 4: Should only",IF(COUNTIF(M227:R227,"C")&gt;0,"Tier 5: Could only",IF(I227&gt;0,"Tier 6: stated, no priority","Aurigo-only"))))))</f>
        <v>Tier 4: Should only</v>
      </c>
      <c r="M227" s="12"/>
      <c r="N227" s="12"/>
      <c r="O227" s="12"/>
      <c r="P227" s="12"/>
      <c r="Q227" s="12"/>
      <c r="R227" s="12" t="s">
        <v>232</v>
      </c>
      <c r="S227" s="8" t="s">
        <v>1418</v>
      </c>
      <c r="T227" s="8"/>
      <c r="U227" s="8"/>
      <c r="V227" s="8" t="s">
        <v>197</v>
      </c>
      <c r="W227" s="8" t="s">
        <v>1419</v>
      </c>
      <c r="X227" s="8"/>
      <c r="Y227" s="8"/>
      <c r="Z227" s="7" t="s">
        <v>34</v>
      </c>
      <c r="AA227" s="8" t="s">
        <v>35</v>
      </c>
      <c r="AB227" s="9" t="n">
        <v>3</v>
      </c>
      <c r="AC227" s="8" t="s">
        <v>643</v>
      </c>
    </row>
    <row r="228" customFormat="false" ht="49.5" hidden="false" customHeight="true" outlineLevel="0" collapsed="false">
      <c r="A228" s="12" t="s">
        <v>1420</v>
      </c>
      <c r="B228" s="8" t="s">
        <v>1047</v>
      </c>
      <c r="C228" s="8" t="s">
        <v>1421</v>
      </c>
      <c r="D228" s="8" t="s">
        <v>1422</v>
      </c>
      <c r="E228" s="8" t="s">
        <v>1423</v>
      </c>
      <c r="F228" s="8" t="s">
        <v>1424</v>
      </c>
      <c r="G228" s="8" t="s">
        <v>409</v>
      </c>
      <c r="H228" s="8" t="str">
        <f aca="false">IF(COUNTIF(M228:R228,"M")&gt;0,"Must Have",IF(COUNTIF(M228:R228,"S")&gt;0,"Should Have",IF(COUNTIF(M228:R228,"C")&gt;0,"Could Have",IF(COUNTA(M228:R228)&gt;0,"Stated – no priority","Aurigo-only (no RFP source)"))))</f>
        <v>Must Have</v>
      </c>
      <c r="I228" s="12" t="n">
        <f aca="false">COUNTA(M228:R228)</f>
        <v>2</v>
      </c>
      <c r="J228" s="12" t="n">
        <f aca="false">COUNTIF(M228:R228,"M")</f>
        <v>2</v>
      </c>
      <c r="K228" s="8" t="str">
        <f aca="false">IF(I228=0,"Aurigo-only",IF(I228=1,"Single source",IF(I228=2,"Two sources",IF(I228&lt;=4,"Common (3-4)","Broad (5+)"))))</f>
        <v>Two sources</v>
      </c>
      <c r="L228" s="8" t="str">
        <f aca="false">IF(J228&gt;=3,"Tier 1: Must in 3+ sources",IF(J228=2,"Tier 2: Must in 2 sources",IF(J228=1,"Tier 3: Must in 1 source",IF(COUNTIF(M228:R228,"S")&gt;0,"Tier 4: Should only",IF(COUNTIF(M228:R228,"C")&gt;0,"Tier 5: Could only",IF(I228&gt;0,"Tier 6: stated, no priority","Aurigo-only"))))))</f>
        <v>Tier 2: Must in 2 sources</v>
      </c>
      <c r="M228" s="12" t="s">
        <v>194</v>
      </c>
      <c r="N228" s="12" t="s">
        <v>194</v>
      </c>
      <c r="O228" s="12"/>
      <c r="P228" s="12"/>
      <c r="Q228" s="12"/>
      <c r="R228" s="12"/>
      <c r="S228" s="8" t="s">
        <v>1425</v>
      </c>
      <c r="T228" s="8" t="s">
        <v>1426</v>
      </c>
      <c r="U228" s="8"/>
      <c r="V228" s="8" t="s">
        <v>204</v>
      </c>
      <c r="W228" s="8" t="s">
        <v>205</v>
      </c>
      <c r="X228" s="8"/>
      <c r="Y228" s="8" t="s">
        <v>1346</v>
      </c>
      <c r="Z228" s="7" t="s">
        <v>34</v>
      </c>
      <c r="AA228" s="8" t="s">
        <v>35</v>
      </c>
      <c r="AB228" s="9" t="n">
        <v>12</v>
      </c>
      <c r="AC228" s="8" t="s">
        <v>643</v>
      </c>
    </row>
    <row r="229" customFormat="false" ht="87" hidden="false" customHeight="true" outlineLevel="0" collapsed="false">
      <c r="A229" s="12" t="s">
        <v>1427</v>
      </c>
      <c r="B229" s="8" t="s">
        <v>1047</v>
      </c>
      <c r="C229" s="8" t="s">
        <v>1421</v>
      </c>
      <c r="D229" s="8" t="s">
        <v>1428</v>
      </c>
      <c r="E229" s="8" t="s">
        <v>1429</v>
      </c>
      <c r="F229" s="8" t="s">
        <v>1430</v>
      </c>
      <c r="G229" s="8" t="s">
        <v>409</v>
      </c>
      <c r="H229" s="8" t="str">
        <f aca="false">IF(COUNTIF(M229:R229,"M")&gt;0,"Must Have",IF(COUNTIF(M229:R229,"S")&gt;0,"Should Have",IF(COUNTIF(M229:R229,"C")&gt;0,"Could Have",IF(COUNTA(M229:R229)&gt;0,"Stated – no priority","Aurigo-only (no RFP source)"))))</f>
        <v>Must Have</v>
      </c>
      <c r="I229" s="12" t="n">
        <f aca="false">COUNTA(M229:R229)</f>
        <v>4</v>
      </c>
      <c r="J229" s="12" t="n">
        <f aca="false">COUNTIF(M229:R229,"M")</f>
        <v>4</v>
      </c>
      <c r="K229" s="8" t="str">
        <f aca="false">IF(I229=0,"Aurigo-only",IF(I229=1,"Single source",IF(I229=2,"Two sources",IF(I229&lt;=4,"Common (3-4)","Broad (5+)"))))</f>
        <v>Common (3-4)</v>
      </c>
      <c r="L229" s="8" t="str">
        <f aca="false">IF(J229&gt;=3,"Tier 1: Must in 3+ sources",IF(J229=2,"Tier 2: Must in 2 sources",IF(J229=1,"Tier 3: Must in 1 source",IF(COUNTIF(M229:R229,"S")&gt;0,"Tier 4: Should only",IF(COUNTIF(M229:R229,"C")&gt;0,"Tier 5: Could only",IF(I229&gt;0,"Tier 6: stated, no priority","Aurigo-only"))))))</f>
        <v>Tier 1: Must in 3+ sources</v>
      </c>
      <c r="M229" s="12" t="s">
        <v>194</v>
      </c>
      <c r="N229" s="12" t="s">
        <v>194</v>
      </c>
      <c r="O229" s="12"/>
      <c r="P229" s="12"/>
      <c r="Q229" s="12" t="s">
        <v>194</v>
      </c>
      <c r="R229" s="12" t="s">
        <v>194</v>
      </c>
      <c r="S229" s="8" t="s">
        <v>1431</v>
      </c>
      <c r="T229" s="8"/>
      <c r="U229" s="8"/>
      <c r="V229" s="8" t="s">
        <v>204</v>
      </c>
      <c r="W229" s="8" t="s">
        <v>205</v>
      </c>
      <c r="X229" s="8"/>
      <c r="Y229" s="8" t="s">
        <v>934</v>
      </c>
      <c r="Z229" s="7" t="s">
        <v>34</v>
      </c>
      <c r="AA229" s="8" t="s">
        <v>35</v>
      </c>
      <c r="AB229" s="9" t="n">
        <v>11</v>
      </c>
      <c r="AC229" s="8" t="s">
        <v>643</v>
      </c>
    </row>
    <row r="230" customFormat="false" ht="62.25" hidden="false" customHeight="true" outlineLevel="0" collapsed="false">
      <c r="A230" s="12" t="s">
        <v>1432</v>
      </c>
      <c r="B230" s="8" t="s">
        <v>1047</v>
      </c>
      <c r="C230" s="8" t="s">
        <v>1421</v>
      </c>
      <c r="D230" s="8" t="s">
        <v>1433</v>
      </c>
      <c r="E230" s="8" t="s">
        <v>1434</v>
      </c>
      <c r="F230" s="8" t="s">
        <v>1435</v>
      </c>
      <c r="G230" s="8" t="s">
        <v>409</v>
      </c>
      <c r="H230" s="8" t="str">
        <f aca="false">IF(COUNTIF(M230:R230,"M")&gt;0,"Must Have",IF(COUNTIF(M230:R230,"S")&gt;0,"Should Have",IF(COUNTIF(M230:R230,"C")&gt;0,"Could Have",IF(COUNTA(M230:R230)&gt;0,"Stated – no priority","Aurigo-only (no RFP source)"))))</f>
        <v>Must Have</v>
      </c>
      <c r="I230" s="12" t="n">
        <f aca="false">COUNTA(M230:R230)</f>
        <v>2</v>
      </c>
      <c r="J230" s="12" t="n">
        <f aca="false">COUNTIF(M230:R230,"M")</f>
        <v>1</v>
      </c>
      <c r="K230" s="8" t="str">
        <f aca="false">IF(I230=0,"Aurigo-only",IF(I230=1,"Single source",IF(I230=2,"Two sources",IF(I230&lt;=4,"Common (3-4)","Broad (5+)"))))</f>
        <v>Two sources</v>
      </c>
      <c r="L230" s="8" t="str">
        <f aca="false">IF(J230&gt;=3,"Tier 1: Must in 3+ sources",IF(J230=2,"Tier 2: Must in 2 sources",IF(J230=1,"Tier 3: Must in 1 source",IF(COUNTIF(M230:R230,"S")&gt;0,"Tier 4: Should only",IF(COUNTIF(M230:R230,"C")&gt;0,"Tier 5: Could only",IF(I230&gt;0,"Tier 6: stated, no priority","Aurigo-only"))))))</f>
        <v>Tier 3: Must in 1 source</v>
      </c>
      <c r="M230" s="12" t="s">
        <v>194</v>
      </c>
      <c r="N230" s="12"/>
      <c r="O230" s="12"/>
      <c r="P230" s="12"/>
      <c r="Q230" s="12" t="s">
        <v>232</v>
      </c>
      <c r="R230" s="12"/>
      <c r="S230" s="8" t="s">
        <v>1436</v>
      </c>
      <c r="T230" s="8"/>
      <c r="U230" s="8"/>
      <c r="V230" s="8" t="s">
        <v>197</v>
      </c>
      <c r="W230" s="8" t="s">
        <v>1437</v>
      </c>
      <c r="X230" s="8"/>
      <c r="Y230" s="8"/>
      <c r="Z230" s="7" t="s">
        <v>34</v>
      </c>
      <c r="AA230" s="8" t="s">
        <v>35</v>
      </c>
      <c r="AB230" s="9" t="n">
        <v>13</v>
      </c>
      <c r="AC230" s="8" t="s">
        <v>643</v>
      </c>
    </row>
    <row r="231" customFormat="false" ht="75" hidden="false" customHeight="true" outlineLevel="0" collapsed="false">
      <c r="A231" s="12" t="s">
        <v>1438</v>
      </c>
      <c r="B231" s="8" t="s">
        <v>1047</v>
      </c>
      <c r="C231" s="8" t="s">
        <v>1421</v>
      </c>
      <c r="D231" s="8" t="s">
        <v>1439</v>
      </c>
      <c r="E231" s="8" t="s">
        <v>1440</v>
      </c>
      <c r="F231" s="8" t="s">
        <v>1441</v>
      </c>
      <c r="G231" s="8" t="s">
        <v>193</v>
      </c>
      <c r="H231" s="8" t="str">
        <f aca="false">IF(COUNTIF(M231:R231,"M")&gt;0,"Must Have",IF(COUNTIF(M231:R231,"S")&gt;0,"Should Have",IF(COUNTIF(M231:R231,"C")&gt;0,"Could Have",IF(COUNTA(M231:R231)&gt;0,"Stated – no priority","Aurigo-only (no RFP source)"))))</f>
        <v>Must Have</v>
      </c>
      <c r="I231" s="12" t="n">
        <f aca="false">COUNTA(M231:R231)</f>
        <v>3</v>
      </c>
      <c r="J231" s="12" t="n">
        <f aca="false">COUNTIF(M231:R231,"M")</f>
        <v>2</v>
      </c>
      <c r="K231" s="8" t="str">
        <f aca="false">IF(I231=0,"Aurigo-only",IF(I231=1,"Single source",IF(I231=2,"Two sources",IF(I231&lt;=4,"Common (3-4)","Broad (5+)"))))</f>
        <v>Common (3-4)</v>
      </c>
      <c r="L231" s="8" t="str">
        <f aca="false">IF(J231&gt;=3,"Tier 1: Must in 3+ sources",IF(J231=2,"Tier 2: Must in 2 sources",IF(J231=1,"Tier 3: Must in 1 source",IF(COUNTIF(M231:R231,"S")&gt;0,"Tier 4: Should only",IF(COUNTIF(M231:R231,"C")&gt;0,"Tier 5: Could only",IF(I231&gt;0,"Tier 6: stated, no priority","Aurigo-only"))))))</f>
        <v>Tier 2: Must in 2 sources</v>
      </c>
      <c r="M231" s="12" t="s">
        <v>194</v>
      </c>
      <c r="N231" s="12"/>
      <c r="O231" s="12" t="s">
        <v>194</v>
      </c>
      <c r="P231" s="12" t="s">
        <v>195</v>
      </c>
      <c r="Q231" s="12"/>
      <c r="R231" s="12"/>
      <c r="S231" s="8" t="s">
        <v>1442</v>
      </c>
      <c r="T231" s="8"/>
      <c r="U231" s="8"/>
      <c r="V231" s="8" t="s">
        <v>214</v>
      </c>
      <c r="W231" s="8" t="s">
        <v>1443</v>
      </c>
      <c r="X231" s="8"/>
      <c r="Y231" s="8" t="s">
        <v>1220</v>
      </c>
      <c r="Z231" s="7" t="s">
        <v>114</v>
      </c>
      <c r="AA231" s="8" t="s">
        <v>115</v>
      </c>
      <c r="AB231" s="9" t="n">
        <v>267</v>
      </c>
      <c r="AC231" s="8" t="s">
        <v>923</v>
      </c>
    </row>
    <row r="232" customFormat="false" ht="75" hidden="false" customHeight="true" outlineLevel="0" collapsed="false">
      <c r="A232" s="12" t="s">
        <v>1444</v>
      </c>
      <c r="B232" s="8" t="s">
        <v>1047</v>
      </c>
      <c r="C232" s="8" t="s">
        <v>1445</v>
      </c>
      <c r="D232" s="8" t="s">
        <v>1446</v>
      </c>
      <c r="E232" s="8" t="s">
        <v>1447</v>
      </c>
      <c r="F232" s="8" t="s">
        <v>1448</v>
      </c>
      <c r="G232" s="8" t="s">
        <v>1449</v>
      </c>
      <c r="H232" s="8" t="str">
        <f aca="false">IF(COUNTIF(M232:R232,"M")&gt;0,"Must Have",IF(COUNTIF(M232:R232,"S")&gt;0,"Should Have",IF(COUNTIF(M232:R232,"C")&gt;0,"Could Have",IF(COUNTA(M232:R232)&gt;0,"Stated – no priority","Aurigo-only (no RFP source)"))))</f>
        <v>Must Have</v>
      </c>
      <c r="I232" s="12" t="n">
        <f aca="false">COUNTA(M232:R232)</f>
        <v>4</v>
      </c>
      <c r="J232" s="12" t="n">
        <f aca="false">COUNTIF(M232:R232,"M")</f>
        <v>4</v>
      </c>
      <c r="K232" s="8" t="str">
        <f aca="false">IF(I232=0,"Aurigo-only",IF(I232=1,"Single source",IF(I232=2,"Two sources",IF(I232&lt;=4,"Common (3-4)","Broad (5+)"))))</f>
        <v>Common (3-4)</v>
      </c>
      <c r="L232" s="8" t="str">
        <f aca="false">IF(J232&gt;=3,"Tier 1: Must in 3+ sources",IF(J232=2,"Tier 2: Must in 2 sources",IF(J232=1,"Tier 3: Must in 1 source",IF(COUNTIF(M232:R232,"S")&gt;0,"Tier 4: Should only",IF(COUNTIF(M232:R232,"C")&gt;0,"Tier 5: Could only",IF(I232&gt;0,"Tier 6: stated, no priority","Aurigo-only"))))))</f>
        <v>Tier 1: Must in 3+ sources</v>
      </c>
      <c r="M232" s="12" t="s">
        <v>194</v>
      </c>
      <c r="N232" s="12" t="s">
        <v>194</v>
      </c>
      <c r="O232" s="12" t="s">
        <v>194</v>
      </c>
      <c r="P232" s="12"/>
      <c r="Q232" s="12" t="s">
        <v>194</v>
      </c>
      <c r="R232" s="12"/>
      <c r="S232" s="8" t="s">
        <v>1450</v>
      </c>
      <c r="T232" s="8"/>
      <c r="U232" s="8"/>
      <c r="V232" s="8" t="s">
        <v>197</v>
      </c>
      <c r="W232" s="8" t="s">
        <v>1451</v>
      </c>
      <c r="X232" s="8"/>
      <c r="Y232" s="8" t="s">
        <v>1199</v>
      </c>
      <c r="Z232" s="7" t="s">
        <v>83</v>
      </c>
      <c r="AA232" s="8" t="s">
        <v>84</v>
      </c>
      <c r="AB232" s="9" t="n">
        <v>191</v>
      </c>
      <c r="AC232" s="8" t="s">
        <v>1432</v>
      </c>
    </row>
    <row r="233" customFormat="false" ht="99.75" hidden="false" customHeight="true" outlineLevel="0" collapsed="false">
      <c r="A233" s="12" t="s">
        <v>1452</v>
      </c>
      <c r="B233" s="8" t="s">
        <v>1047</v>
      </c>
      <c r="C233" s="8" t="s">
        <v>1445</v>
      </c>
      <c r="D233" s="8" t="s">
        <v>1453</v>
      </c>
      <c r="E233" s="8" t="s">
        <v>1454</v>
      </c>
      <c r="F233" s="8" t="s">
        <v>1455</v>
      </c>
      <c r="G233" s="8" t="s">
        <v>1449</v>
      </c>
      <c r="H233" s="8" t="str">
        <f aca="false">IF(COUNTIF(M233:R233,"M")&gt;0,"Must Have",IF(COUNTIF(M233:R233,"S")&gt;0,"Should Have",IF(COUNTIF(M233:R233,"C")&gt;0,"Could Have",IF(COUNTA(M233:R233)&gt;0,"Stated – no priority","Aurigo-only (no RFP source)"))))</f>
        <v>Must Have</v>
      </c>
      <c r="I233" s="12" t="n">
        <f aca="false">COUNTA(M233:R233)</f>
        <v>4</v>
      </c>
      <c r="J233" s="12" t="n">
        <f aca="false">COUNTIF(M233:R233,"M")</f>
        <v>4</v>
      </c>
      <c r="K233" s="8" t="str">
        <f aca="false">IF(I233=0,"Aurigo-only",IF(I233=1,"Single source",IF(I233=2,"Two sources",IF(I233&lt;=4,"Common (3-4)","Broad (5+)"))))</f>
        <v>Common (3-4)</v>
      </c>
      <c r="L233" s="8" t="str">
        <f aca="false">IF(J233&gt;=3,"Tier 1: Must in 3+ sources",IF(J233=2,"Tier 2: Must in 2 sources",IF(J233=1,"Tier 3: Must in 1 source",IF(COUNTIF(M233:R233,"S")&gt;0,"Tier 4: Should only",IF(COUNTIF(M233:R233,"C")&gt;0,"Tier 5: Could only",IF(I233&gt;0,"Tier 6: stated, no priority","Aurigo-only"))))))</f>
        <v>Tier 1: Must in 3+ sources</v>
      </c>
      <c r="M233" s="12"/>
      <c r="N233" s="12" t="s">
        <v>194</v>
      </c>
      <c r="O233" s="12" t="s">
        <v>194</v>
      </c>
      <c r="P233" s="12"/>
      <c r="Q233" s="12" t="s">
        <v>194</v>
      </c>
      <c r="R233" s="12" t="s">
        <v>194</v>
      </c>
      <c r="S233" s="8" t="s">
        <v>1456</v>
      </c>
      <c r="T233" s="8"/>
      <c r="U233" s="8"/>
      <c r="V233" s="8" t="s">
        <v>197</v>
      </c>
      <c r="W233" s="8" t="s">
        <v>1457</v>
      </c>
      <c r="X233" s="8"/>
      <c r="Y233" s="8" t="s">
        <v>1199</v>
      </c>
      <c r="Z233" s="7" t="s">
        <v>83</v>
      </c>
      <c r="AA233" s="8" t="s">
        <v>84</v>
      </c>
      <c r="AB233" s="9" t="n">
        <v>192</v>
      </c>
      <c r="AC233" s="8" t="s">
        <v>1386</v>
      </c>
    </row>
    <row r="234" customFormat="false" ht="62.25" hidden="false" customHeight="true" outlineLevel="0" collapsed="false">
      <c r="A234" s="12" t="s">
        <v>1458</v>
      </c>
      <c r="B234" s="8" t="s">
        <v>1047</v>
      </c>
      <c r="C234" s="8" t="s">
        <v>1445</v>
      </c>
      <c r="D234" s="8" t="s">
        <v>1459</v>
      </c>
      <c r="E234" s="8" t="s">
        <v>1460</v>
      </c>
      <c r="F234" s="8" t="s">
        <v>1461</v>
      </c>
      <c r="G234" s="8" t="s">
        <v>1449</v>
      </c>
      <c r="H234" s="8" t="str">
        <f aca="false">IF(COUNTIF(M234:R234,"M")&gt;0,"Must Have",IF(COUNTIF(M234:R234,"S")&gt;0,"Should Have",IF(COUNTIF(M234:R234,"C")&gt;0,"Could Have",IF(COUNTA(M234:R234)&gt;0,"Stated – no priority","Aurigo-only (no RFP source)"))))</f>
        <v>Must Have</v>
      </c>
      <c r="I234" s="12" t="n">
        <f aca="false">COUNTA(M234:R234)</f>
        <v>3</v>
      </c>
      <c r="J234" s="12" t="n">
        <f aca="false">COUNTIF(M234:R234,"M")</f>
        <v>3</v>
      </c>
      <c r="K234" s="8" t="str">
        <f aca="false">IF(I234=0,"Aurigo-only",IF(I234=1,"Single source",IF(I234=2,"Two sources",IF(I234&lt;=4,"Common (3-4)","Broad (5+)"))))</f>
        <v>Common (3-4)</v>
      </c>
      <c r="L234" s="8" t="str">
        <f aca="false">IF(J234&gt;=3,"Tier 1: Must in 3+ sources",IF(J234=2,"Tier 2: Must in 2 sources",IF(J234=1,"Tier 3: Must in 1 source",IF(COUNTIF(M234:R234,"S")&gt;0,"Tier 4: Should only",IF(COUNTIF(M234:R234,"C")&gt;0,"Tier 5: Could only",IF(I234&gt;0,"Tier 6: stated, no priority","Aurigo-only"))))))</f>
        <v>Tier 1: Must in 3+ sources</v>
      </c>
      <c r="M234" s="12"/>
      <c r="N234" s="12" t="s">
        <v>194</v>
      </c>
      <c r="O234" s="12" t="s">
        <v>194</v>
      </c>
      <c r="P234" s="12"/>
      <c r="Q234" s="12" t="s">
        <v>194</v>
      </c>
      <c r="R234" s="12"/>
      <c r="S234" s="8" t="s">
        <v>1462</v>
      </c>
      <c r="T234" s="8"/>
      <c r="U234" s="8"/>
      <c r="V234" s="8" t="s">
        <v>197</v>
      </c>
      <c r="W234" s="8" t="s">
        <v>1463</v>
      </c>
      <c r="X234" s="8"/>
      <c r="Y234" s="8" t="s">
        <v>1199</v>
      </c>
      <c r="Z234" s="7" t="s">
        <v>83</v>
      </c>
      <c r="AA234" s="8" t="s">
        <v>84</v>
      </c>
      <c r="AB234" s="9" t="n">
        <v>190</v>
      </c>
      <c r="AC234" s="8" t="s">
        <v>1408</v>
      </c>
    </row>
    <row r="235" customFormat="false" ht="37.5" hidden="false" customHeight="true" outlineLevel="0" collapsed="false">
      <c r="A235" s="12" t="s">
        <v>1464</v>
      </c>
      <c r="B235" s="8" t="s">
        <v>1047</v>
      </c>
      <c r="C235" s="8" t="s">
        <v>1445</v>
      </c>
      <c r="D235" s="8" t="s">
        <v>1459</v>
      </c>
      <c r="E235" s="8" t="s">
        <v>1465</v>
      </c>
      <c r="F235" s="8" t="s">
        <v>1466</v>
      </c>
      <c r="G235" s="8" t="s">
        <v>409</v>
      </c>
      <c r="H235" s="8" t="str">
        <f aca="false">IF(COUNTIF(M235:R235,"M")&gt;0,"Must Have",IF(COUNTIF(M235:R235,"S")&gt;0,"Should Have",IF(COUNTIF(M235:R235,"C")&gt;0,"Could Have",IF(COUNTA(M235:R235)&gt;0,"Stated – no priority","Aurigo-only (no RFP source)"))))</f>
        <v>Must Have</v>
      </c>
      <c r="I235" s="12" t="n">
        <f aca="false">COUNTA(M235:R235)</f>
        <v>1</v>
      </c>
      <c r="J235" s="12" t="n">
        <f aca="false">COUNTIF(M235:R235,"M")</f>
        <v>1</v>
      </c>
      <c r="K235" s="8" t="str">
        <f aca="false">IF(I235=0,"Aurigo-only",IF(I235=1,"Single source",IF(I235=2,"Two sources",IF(I235&lt;=4,"Common (3-4)","Broad (5+)"))))</f>
        <v>Single source</v>
      </c>
      <c r="L235" s="8" t="str">
        <f aca="false">IF(J235&gt;=3,"Tier 1: Must in 3+ sources",IF(J235=2,"Tier 2: Must in 2 sources",IF(J235=1,"Tier 3: Must in 1 source",IF(COUNTIF(M235:R235,"S")&gt;0,"Tier 4: Should only",IF(COUNTIF(M235:R235,"C")&gt;0,"Tier 5: Could only",IF(I235&gt;0,"Tier 6: stated, no priority","Aurigo-only"))))))</f>
        <v>Tier 3: Must in 1 source</v>
      </c>
      <c r="M235" s="12"/>
      <c r="N235" s="12" t="s">
        <v>194</v>
      </c>
      <c r="O235" s="12"/>
      <c r="P235" s="12"/>
      <c r="Q235" s="12"/>
      <c r="R235" s="12"/>
      <c r="S235" s="8" t="s">
        <v>1467</v>
      </c>
      <c r="T235" s="8"/>
      <c r="U235" s="8"/>
      <c r="V235" s="8" t="s">
        <v>204</v>
      </c>
      <c r="W235" s="8" t="s">
        <v>205</v>
      </c>
      <c r="X235" s="8"/>
      <c r="Y235" s="8" t="s">
        <v>1199</v>
      </c>
      <c r="Z235" s="7" t="s">
        <v>83</v>
      </c>
      <c r="AA235" s="8" t="s">
        <v>84</v>
      </c>
      <c r="AB235" s="9" t="n">
        <v>193</v>
      </c>
      <c r="AC235" s="8" t="s">
        <v>1290</v>
      </c>
    </row>
    <row r="236" customFormat="false" ht="61.5" hidden="false" customHeight="true" outlineLevel="0" collapsed="false">
      <c r="A236" s="12" t="s">
        <v>1468</v>
      </c>
      <c r="B236" s="8" t="s">
        <v>188</v>
      </c>
      <c r="C236" s="8" t="s">
        <v>189</v>
      </c>
      <c r="D236" s="8" t="s">
        <v>218</v>
      </c>
      <c r="E236" s="8" t="s">
        <v>1469</v>
      </c>
      <c r="F236" s="8" t="s">
        <v>1470</v>
      </c>
      <c r="G236" s="8" t="s">
        <v>403</v>
      </c>
      <c r="H236" s="8" t="s">
        <v>1471</v>
      </c>
      <c r="I236" s="12" t="n">
        <v>0</v>
      </c>
      <c r="J236" s="12" t="n">
        <v>0</v>
      </c>
      <c r="K236" s="8" t="s">
        <v>1472</v>
      </c>
      <c r="L236" s="8" t="s">
        <v>1473</v>
      </c>
      <c r="M236" s="12"/>
      <c r="N236" s="12"/>
      <c r="O236" s="12"/>
      <c r="P236" s="12"/>
      <c r="Q236" s="12"/>
      <c r="R236" s="12"/>
      <c r="S236" s="8" t="s">
        <v>1474</v>
      </c>
      <c r="T236" s="8"/>
      <c r="U236" s="8"/>
      <c r="V236" s="8" t="s">
        <v>1475</v>
      </c>
      <c r="W236" s="8" t="s">
        <v>1476</v>
      </c>
      <c r="X236" s="8" t="s">
        <v>1477</v>
      </c>
      <c r="Y236" s="8"/>
      <c r="Z236" s="7" t="s">
        <v>37</v>
      </c>
      <c r="AA236" s="8" t="s">
        <v>38</v>
      </c>
      <c r="AB236" s="9" t="n">
        <v>20</v>
      </c>
      <c r="AC236" s="8" t="s">
        <v>217</v>
      </c>
    </row>
    <row r="237" customFormat="false" ht="61.5" hidden="false" customHeight="true" outlineLevel="0" collapsed="false">
      <c r="A237" s="12" t="s">
        <v>1478</v>
      </c>
      <c r="B237" s="8" t="s">
        <v>188</v>
      </c>
      <c r="C237" s="8" t="s">
        <v>189</v>
      </c>
      <c r="D237" s="8" t="s">
        <v>218</v>
      </c>
      <c r="E237" s="8" t="s">
        <v>1479</v>
      </c>
      <c r="F237" s="8" t="s">
        <v>1480</v>
      </c>
      <c r="G237" s="8" t="s">
        <v>403</v>
      </c>
      <c r="H237" s="8" t="s">
        <v>1471</v>
      </c>
      <c r="I237" s="12" t="n">
        <v>0</v>
      </c>
      <c r="J237" s="12" t="n">
        <v>0</v>
      </c>
      <c r="K237" s="8" t="s">
        <v>1472</v>
      </c>
      <c r="L237" s="8" t="s">
        <v>1473</v>
      </c>
      <c r="M237" s="12"/>
      <c r="N237" s="12"/>
      <c r="O237" s="12"/>
      <c r="P237" s="12"/>
      <c r="Q237" s="12"/>
      <c r="R237" s="12"/>
      <c r="S237" s="8" t="s">
        <v>1481</v>
      </c>
      <c r="T237" s="8"/>
      <c r="U237" s="8"/>
      <c r="V237" s="8" t="s">
        <v>1475</v>
      </c>
      <c r="W237" s="8" t="s">
        <v>1476</v>
      </c>
      <c r="X237" s="8" t="s">
        <v>1482</v>
      </c>
      <c r="Y237" s="8"/>
      <c r="Z237" s="7" t="s">
        <v>43</v>
      </c>
      <c r="AA237" s="8" t="s">
        <v>44</v>
      </c>
      <c r="AB237" s="9" t="n">
        <v>42</v>
      </c>
      <c r="AC237" s="8" t="s">
        <v>217</v>
      </c>
    </row>
    <row r="238" customFormat="false" ht="61.5" hidden="false" customHeight="true" outlineLevel="0" collapsed="false">
      <c r="A238" s="12" t="s">
        <v>1483</v>
      </c>
      <c r="B238" s="8" t="s">
        <v>188</v>
      </c>
      <c r="C238" s="8" t="s">
        <v>189</v>
      </c>
      <c r="D238" s="8" t="s">
        <v>1484</v>
      </c>
      <c r="E238" s="8" t="s">
        <v>1485</v>
      </c>
      <c r="F238" s="8" t="s">
        <v>1486</v>
      </c>
      <c r="G238" s="8" t="s">
        <v>193</v>
      </c>
      <c r="H238" s="8" t="s">
        <v>1471</v>
      </c>
      <c r="I238" s="12" t="n">
        <v>0</v>
      </c>
      <c r="J238" s="12" t="n">
        <v>0</v>
      </c>
      <c r="K238" s="8" t="s">
        <v>1472</v>
      </c>
      <c r="L238" s="8" t="s">
        <v>1473</v>
      </c>
      <c r="M238" s="12"/>
      <c r="N238" s="12"/>
      <c r="O238" s="12"/>
      <c r="P238" s="12"/>
      <c r="Q238" s="12"/>
      <c r="R238" s="12"/>
      <c r="S238" s="8" t="s">
        <v>1487</v>
      </c>
      <c r="T238" s="8"/>
      <c r="U238" s="8"/>
      <c r="V238" s="8" t="s">
        <v>1475</v>
      </c>
      <c r="W238" s="8" t="s">
        <v>1476</v>
      </c>
      <c r="X238" s="8" t="s">
        <v>1488</v>
      </c>
      <c r="Y238" s="8"/>
      <c r="Z238" s="7" t="s">
        <v>43</v>
      </c>
      <c r="AA238" s="8" t="s">
        <v>44</v>
      </c>
      <c r="AB238" s="9" t="n">
        <v>45</v>
      </c>
      <c r="AC238" s="8" t="s">
        <v>1489</v>
      </c>
    </row>
    <row r="239" customFormat="false" ht="61.5" hidden="false" customHeight="true" outlineLevel="0" collapsed="false">
      <c r="A239" s="12" t="s">
        <v>1490</v>
      </c>
      <c r="B239" s="8" t="s">
        <v>188</v>
      </c>
      <c r="C239" s="8" t="s">
        <v>567</v>
      </c>
      <c r="D239" s="8" t="s">
        <v>1491</v>
      </c>
      <c r="E239" s="8" t="s">
        <v>1492</v>
      </c>
      <c r="F239" s="8" t="s">
        <v>1493</v>
      </c>
      <c r="G239" s="8" t="s">
        <v>193</v>
      </c>
      <c r="H239" s="8" t="s">
        <v>1471</v>
      </c>
      <c r="I239" s="12" t="n">
        <v>0</v>
      </c>
      <c r="J239" s="12" t="n">
        <v>0</v>
      </c>
      <c r="K239" s="8" t="s">
        <v>1472</v>
      </c>
      <c r="L239" s="8" t="s">
        <v>1473</v>
      </c>
      <c r="M239" s="12"/>
      <c r="N239" s="12"/>
      <c r="O239" s="12"/>
      <c r="P239" s="12"/>
      <c r="Q239" s="12"/>
      <c r="R239" s="12"/>
      <c r="S239" s="8" t="s">
        <v>1494</v>
      </c>
      <c r="T239" s="8"/>
      <c r="U239" s="8"/>
      <c r="V239" s="8" t="s">
        <v>1475</v>
      </c>
      <c r="W239" s="8" t="s">
        <v>1476</v>
      </c>
      <c r="X239" s="8"/>
      <c r="Y239" s="8"/>
      <c r="Z239" s="7" t="s">
        <v>49</v>
      </c>
      <c r="AA239" s="8" t="s">
        <v>50</v>
      </c>
      <c r="AB239" s="9" t="n">
        <v>58</v>
      </c>
      <c r="AC239" s="8" t="s">
        <v>1495</v>
      </c>
    </row>
    <row r="240" customFormat="false" ht="61.5" hidden="false" customHeight="true" outlineLevel="0" collapsed="false">
      <c r="A240" s="12" t="s">
        <v>1496</v>
      </c>
      <c r="B240" s="8" t="s">
        <v>188</v>
      </c>
      <c r="C240" s="8" t="s">
        <v>567</v>
      </c>
      <c r="D240" s="8" t="s">
        <v>1497</v>
      </c>
      <c r="E240" s="8" t="s">
        <v>1498</v>
      </c>
      <c r="F240" s="8" t="s">
        <v>1499</v>
      </c>
      <c r="G240" s="8" t="s">
        <v>193</v>
      </c>
      <c r="H240" s="8" t="s">
        <v>1471</v>
      </c>
      <c r="I240" s="12" t="n">
        <v>0</v>
      </c>
      <c r="J240" s="12" t="n">
        <v>0</v>
      </c>
      <c r="K240" s="8" t="s">
        <v>1472</v>
      </c>
      <c r="L240" s="8" t="s">
        <v>1473</v>
      </c>
      <c r="M240" s="12"/>
      <c r="N240" s="12"/>
      <c r="O240" s="12"/>
      <c r="P240" s="12"/>
      <c r="Q240" s="12"/>
      <c r="R240" s="12"/>
      <c r="S240" s="8" t="s">
        <v>1500</v>
      </c>
      <c r="T240" s="8" t="s">
        <v>1501</v>
      </c>
      <c r="U240" s="8"/>
      <c r="V240" s="8" t="s">
        <v>1475</v>
      </c>
      <c r="W240" s="8" t="s">
        <v>1476</v>
      </c>
      <c r="X240" s="8" t="s">
        <v>1502</v>
      </c>
      <c r="Y240" s="8"/>
      <c r="Z240" s="7" t="s">
        <v>49</v>
      </c>
      <c r="AA240" s="8" t="s">
        <v>50</v>
      </c>
      <c r="AB240" s="9" t="n">
        <v>59</v>
      </c>
      <c r="AC240" s="8" t="s">
        <v>1503</v>
      </c>
    </row>
    <row r="241" customFormat="false" ht="61.5" hidden="false" customHeight="true" outlineLevel="0" collapsed="false">
      <c r="A241" s="12" t="s">
        <v>1504</v>
      </c>
      <c r="B241" s="8" t="s">
        <v>188</v>
      </c>
      <c r="C241" s="8" t="s">
        <v>189</v>
      </c>
      <c r="D241" s="8" t="s">
        <v>1505</v>
      </c>
      <c r="E241" s="8" t="s">
        <v>1506</v>
      </c>
      <c r="F241" s="8" t="s">
        <v>1507</v>
      </c>
      <c r="G241" s="8" t="s">
        <v>193</v>
      </c>
      <c r="H241" s="8" t="s">
        <v>1471</v>
      </c>
      <c r="I241" s="12" t="n">
        <v>0</v>
      </c>
      <c r="J241" s="12" t="n">
        <v>0</v>
      </c>
      <c r="K241" s="8" t="s">
        <v>1472</v>
      </c>
      <c r="L241" s="8" t="s">
        <v>1473</v>
      </c>
      <c r="M241" s="12"/>
      <c r="N241" s="12"/>
      <c r="O241" s="12"/>
      <c r="P241" s="12"/>
      <c r="Q241" s="12"/>
      <c r="R241" s="12"/>
      <c r="S241" s="8" t="s">
        <v>1508</v>
      </c>
      <c r="T241" s="8"/>
      <c r="U241" s="8"/>
      <c r="V241" s="8" t="s">
        <v>1475</v>
      </c>
      <c r="W241" s="8" t="s">
        <v>1476</v>
      </c>
      <c r="X241" s="8"/>
      <c r="Y241" s="8"/>
      <c r="Z241" s="7" t="s">
        <v>49</v>
      </c>
      <c r="AA241" s="8" t="s">
        <v>50</v>
      </c>
      <c r="AB241" s="9" t="n">
        <v>51</v>
      </c>
      <c r="AC241" s="8" t="s">
        <v>1509</v>
      </c>
    </row>
    <row r="242" customFormat="false" ht="61.5" hidden="false" customHeight="true" outlineLevel="0" collapsed="false">
      <c r="A242" s="12" t="s">
        <v>1510</v>
      </c>
      <c r="B242" s="8" t="s">
        <v>188</v>
      </c>
      <c r="C242" s="8" t="s">
        <v>567</v>
      </c>
      <c r="D242" s="8" t="s">
        <v>568</v>
      </c>
      <c r="E242" s="8" t="s">
        <v>1511</v>
      </c>
      <c r="F242" s="8" t="s">
        <v>1512</v>
      </c>
      <c r="G242" s="8" t="s">
        <v>193</v>
      </c>
      <c r="H242" s="8" t="s">
        <v>1471</v>
      </c>
      <c r="I242" s="12" t="n">
        <v>0</v>
      </c>
      <c r="J242" s="12" t="n">
        <v>0</v>
      </c>
      <c r="K242" s="8" t="s">
        <v>1472</v>
      </c>
      <c r="L242" s="8" t="s">
        <v>1473</v>
      </c>
      <c r="M242" s="12"/>
      <c r="N242" s="12"/>
      <c r="O242" s="12"/>
      <c r="P242" s="12"/>
      <c r="Q242" s="12"/>
      <c r="R242" s="12"/>
      <c r="S242" s="8" t="s">
        <v>1513</v>
      </c>
      <c r="T242" s="8"/>
      <c r="U242" s="8"/>
      <c r="V242" s="8" t="s">
        <v>1475</v>
      </c>
      <c r="W242" s="8" t="s">
        <v>1476</v>
      </c>
      <c r="X242" s="8" t="s">
        <v>1514</v>
      </c>
      <c r="Y242" s="8"/>
      <c r="Z242" s="7" t="s">
        <v>49</v>
      </c>
      <c r="AA242" s="8" t="s">
        <v>50</v>
      </c>
      <c r="AB242" s="9" t="n">
        <v>60</v>
      </c>
      <c r="AC242" s="8" t="s">
        <v>1515</v>
      </c>
    </row>
    <row r="243" customFormat="false" ht="61.5" hidden="false" customHeight="true" outlineLevel="0" collapsed="false">
      <c r="A243" s="12" t="s">
        <v>1516</v>
      </c>
      <c r="B243" s="8" t="s">
        <v>188</v>
      </c>
      <c r="C243" s="8" t="s">
        <v>532</v>
      </c>
      <c r="D243" s="8" t="s">
        <v>1517</v>
      </c>
      <c r="E243" s="8" t="s">
        <v>1518</v>
      </c>
      <c r="F243" s="8" t="s">
        <v>1519</v>
      </c>
      <c r="G243" s="8" t="s">
        <v>193</v>
      </c>
      <c r="H243" s="8" t="s">
        <v>1471</v>
      </c>
      <c r="I243" s="12" t="n">
        <v>0</v>
      </c>
      <c r="J243" s="12" t="n">
        <v>0</v>
      </c>
      <c r="K243" s="8" t="s">
        <v>1472</v>
      </c>
      <c r="L243" s="8" t="s">
        <v>1473</v>
      </c>
      <c r="M243" s="12"/>
      <c r="N243" s="12"/>
      <c r="O243" s="12"/>
      <c r="P243" s="12"/>
      <c r="Q243" s="12"/>
      <c r="R243" s="12"/>
      <c r="S243" s="8" t="s">
        <v>1520</v>
      </c>
      <c r="T243" s="8"/>
      <c r="U243" s="8"/>
      <c r="V243" s="8" t="s">
        <v>1475</v>
      </c>
      <c r="W243" s="8" t="s">
        <v>1476</v>
      </c>
      <c r="X243" s="8" t="s">
        <v>1521</v>
      </c>
      <c r="Y243" s="8"/>
      <c r="Z243" s="7" t="s">
        <v>64</v>
      </c>
      <c r="AA243" s="8" t="s">
        <v>65</v>
      </c>
      <c r="AB243" s="9" t="n">
        <v>130</v>
      </c>
      <c r="AC243" s="8" t="s">
        <v>1522</v>
      </c>
    </row>
    <row r="244" customFormat="false" ht="61.5" hidden="false" customHeight="true" outlineLevel="0" collapsed="false">
      <c r="A244" s="12" t="s">
        <v>1523</v>
      </c>
      <c r="B244" s="8" t="s">
        <v>188</v>
      </c>
      <c r="C244" s="8" t="s">
        <v>189</v>
      </c>
      <c r="D244" s="8" t="s">
        <v>1524</v>
      </c>
      <c r="E244" s="8" t="s">
        <v>1525</v>
      </c>
      <c r="F244" s="8" t="s">
        <v>1526</v>
      </c>
      <c r="G244" s="8" t="s">
        <v>193</v>
      </c>
      <c r="H244" s="8" t="s">
        <v>1471</v>
      </c>
      <c r="I244" s="12" t="n">
        <v>0</v>
      </c>
      <c r="J244" s="12" t="n">
        <v>0</v>
      </c>
      <c r="K244" s="8" t="s">
        <v>1472</v>
      </c>
      <c r="L244" s="8" t="s">
        <v>1473</v>
      </c>
      <c r="M244" s="12"/>
      <c r="N244" s="12"/>
      <c r="O244" s="12"/>
      <c r="P244" s="12"/>
      <c r="Q244" s="12"/>
      <c r="R244" s="12"/>
      <c r="S244" s="8" t="s">
        <v>1527</v>
      </c>
      <c r="T244" s="8"/>
      <c r="U244" s="8"/>
      <c r="V244" s="8" t="s">
        <v>1475</v>
      </c>
      <c r="W244" s="8" t="s">
        <v>1476</v>
      </c>
      <c r="X244" s="8" t="s">
        <v>1528</v>
      </c>
      <c r="Y244" s="8"/>
      <c r="Z244" s="7" t="s">
        <v>43</v>
      </c>
      <c r="AA244" s="8" t="s">
        <v>44</v>
      </c>
      <c r="AB244" s="9" t="n">
        <v>37</v>
      </c>
      <c r="AC244" s="8" t="s">
        <v>1529</v>
      </c>
    </row>
    <row r="245" customFormat="false" ht="61.5" hidden="false" customHeight="true" outlineLevel="0" collapsed="false">
      <c r="A245" s="12" t="s">
        <v>1530</v>
      </c>
      <c r="B245" s="8" t="s">
        <v>188</v>
      </c>
      <c r="C245" s="8" t="s">
        <v>320</v>
      </c>
      <c r="D245" s="8" t="s">
        <v>1531</v>
      </c>
      <c r="E245" s="8" t="s">
        <v>1532</v>
      </c>
      <c r="F245" s="8" t="s">
        <v>1533</v>
      </c>
      <c r="G245" s="8" t="s">
        <v>193</v>
      </c>
      <c r="H245" s="8" t="s">
        <v>1471</v>
      </c>
      <c r="I245" s="12" t="n">
        <v>0</v>
      </c>
      <c r="J245" s="12" t="n">
        <v>0</v>
      </c>
      <c r="K245" s="8" t="s">
        <v>1472</v>
      </c>
      <c r="L245" s="8" t="s">
        <v>1473</v>
      </c>
      <c r="M245" s="12"/>
      <c r="N245" s="12"/>
      <c r="O245" s="12"/>
      <c r="P245" s="12"/>
      <c r="Q245" s="12"/>
      <c r="R245" s="12"/>
      <c r="S245" s="8" t="s">
        <v>1534</v>
      </c>
      <c r="T245" s="8"/>
      <c r="U245" s="8"/>
      <c r="V245" s="8" t="s">
        <v>1475</v>
      </c>
      <c r="W245" s="8" t="s">
        <v>1476</v>
      </c>
      <c r="X245" s="8" t="s">
        <v>1535</v>
      </c>
      <c r="Y245" s="8"/>
      <c r="Z245" s="7" t="s">
        <v>52</v>
      </c>
      <c r="AA245" s="8" t="s">
        <v>53</v>
      </c>
      <c r="AB245" s="9" t="n">
        <v>67</v>
      </c>
      <c r="AC245" s="8" t="s">
        <v>1536</v>
      </c>
    </row>
    <row r="246" customFormat="false" ht="61.5" hidden="false" customHeight="true" outlineLevel="0" collapsed="false">
      <c r="A246" s="12" t="s">
        <v>1537</v>
      </c>
      <c r="B246" s="8" t="s">
        <v>188</v>
      </c>
      <c r="C246" s="8" t="s">
        <v>320</v>
      </c>
      <c r="D246" s="8" t="s">
        <v>362</v>
      </c>
      <c r="E246" s="8" t="s">
        <v>1538</v>
      </c>
      <c r="F246" s="8" t="s">
        <v>1539</v>
      </c>
      <c r="G246" s="8" t="s">
        <v>193</v>
      </c>
      <c r="H246" s="8" t="s">
        <v>1471</v>
      </c>
      <c r="I246" s="12" t="n">
        <v>0</v>
      </c>
      <c r="J246" s="12" t="n">
        <v>0</v>
      </c>
      <c r="K246" s="8" t="s">
        <v>1472</v>
      </c>
      <c r="L246" s="8" t="s">
        <v>1473</v>
      </c>
      <c r="M246" s="12"/>
      <c r="N246" s="12"/>
      <c r="O246" s="12"/>
      <c r="P246" s="12"/>
      <c r="Q246" s="12"/>
      <c r="R246" s="12"/>
      <c r="S246" s="8" t="s">
        <v>1540</v>
      </c>
      <c r="T246" s="8"/>
      <c r="U246" s="8"/>
      <c r="V246" s="8" t="s">
        <v>1475</v>
      </c>
      <c r="W246" s="8" t="s">
        <v>1476</v>
      </c>
      <c r="X246" s="8" t="s">
        <v>1541</v>
      </c>
      <c r="Y246" s="8"/>
      <c r="Z246" s="7" t="s">
        <v>70</v>
      </c>
      <c r="AA246" s="8" t="s">
        <v>71</v>
      </c>
      <c r="AB246" s="9" t="n">
        <v>161</v>
      </c>
      <c r="AC246" s="8" t="s">
        <v>1542</v>
      </c>
    </row>
    <row r="247" customFormat="false" ht="61.5" hidden="false" customHeight="true" outlineLevel="0" collapsed="false">
      <c r="A247" s="12" t="s">
        <v>1543</v>
      </c>
      <c r="B247" s="8" t="s">
        <v>188</v>
      </c>
      <c r="C247" s="8" t="s">
        <v>320</v>
      </c>
      <c r="D247" s="8" t="s">
        <v>321</v>
      </c>
      <c r="E247" s="8" t="s">
        <v>1544</v>
      </c>
      <c r="F247" s="8" t="s">
        <v>1545</v>
      </c>
      <c r="G247" s="8" t="s">
        <v>193</v>
      </c>
      <c r="H247" s="8" t="s">
        <v>1471</v>
      </c>
      <c r="I247" s="12" t="n">
        <v>0</v>
      </c>
      <c r="J247" s="12" t="n">
        <v>0</v>
      </c>
      <c r="K247" s="8" t="s">
        <v>1472</v>
      </c>
      <c r="L247" s="8" t="s">
        <v>1473</v>
      </c>
      <c r="M247" s="12"/>
      <c r="N247" s="12"/>
      <c r="O247" s="12"/>
      <c r="P247" s="12"/>
      <c r="Q247" s="12"/>
      <c r="R247" s="12"/>
      <c r="S247" s="8" t="s">
        <v>1546</v>
      </c>
      <c r="T247" s="8"/>
      <c r="U247" s="8"/>
      <c r="V247" s="8" t="s">
        <v>1475</v>
      </c>
      <c r="W247" s="8" t="s">
        <v>1476</v>
      </c>
      <c r="X247" s="8"/>
      <c r="Y247" s="8"/>
      <c r="Z247" s="7" t="s">
        <v>52</v>
      </c>
      <c r="AA247" s="8" t="s">
        <v>53</v>
      </c>
      <c r="AB247" s="9" t="n">
        <v>77</v>
      </c>
      <c r="AC247" s="8" t="s">
        <v>1547</v>
      </c>
    </row>
    <row r="248" customFormat="false" ht="61.5" hidden="false" customHeight="true" outlineLevel="0" collapsed="false">
      <c r="A248" s="12" t="s">
        <v>1548</v>
      </c>
      <c r="B248" s="8" t="s">
        <v>188</v>
      </c>
      <c r="C248" s="8" t="s">
        <v>380</v>
      </c>
      <c r="D248" s="8" t="s">
        <v>381</v>
      </c>
      <c r="E248" s="8" t="s">
        <v>1549</v>
      </c>
      <c r="F248" s="8" t="s">
        <v>1550</v>
      </c>
      <c r="G248" s="8" t="s">
        <v>193</v>
      </c>
      <c r="H248" s="8" t="s">
        <v>1471</v>
      </c>
      <c r="I248" s="12" t="n">
        <v>0</v>
      </c>
      <c r="J248" s="12" t="n">
        <v>0</v>
      </c>
      <c r="K248" s="8" t="s">
        <v>1472</v>
      </c>
      <c r="L248" s="8" t="s">
        <v>1473</v>
      </c>
      <c r="M248" s="12"/>
      <c r="N248" s="12"/>
      <c r="O248" s="12"/>
      <c r="P248" s="12"/>
      <c r="Q248" s="12"/>
      <c r="R248" s="12"/>
      <c r="S248" s="8" t="s">
        <v>1551</v>
      </c>
      <c r="T248" s="8"/>
      <c r="U248" s="8"/>
      <c r="V248" s="8" t="s">
        <v>1475</v>
      </c>
      <c r="W248" s="8" t="s">
        <v>1476</v>
      </c>
      <c r="X248" s="8"/>
      <c r="Y248" s="8"/>
      <c r="Z248" s="7" t="s">
        <v>55</v>
      </c>
      <c r="AA248" s="8" t="s">
        <v>56</v>
      </c>
      <c r="AB248" s="9" t="n">
        <v>87</v>
      </c>
      <c r="AC248" s="8" t="s">
        <v>1552</v>
      </c>
    </row>
    <row r="249" customFormat="false" ht="61.5" hidden="false" customHeight="true" outlineLevel="0" collapsed="false">
      <c r="A249" s="12" t="s">
        <v>1553</v>
      </c>
      <c r="B249" s="8" t="s">
        <v>188</v>
      </c>
      <c r="C249" s="8" t="s">
        <v>380</v>
      </c>
      <c r="D249" s="8" t="s">
        <v>381</v>
      </c>
      <c r="E249" s="8" t="s">
        <v>1554</v>
      </c>
      <c r="F249" s="8" t="s">
        <v>1555</v>
      </c>
      <c r="G249" s="8" t="s">
        <v>193</v>
      </c>
      <c r="H249" s="8" t="s">
        <v>1471</v>
      </c>
      <c r="I249" s="12" t="n">
        <v>0</v>
      </c>
      <c r="J249" s="12" t="n">
        <v>0</v>
      </c>
      <c r="K249" s="8" t="s">
        <v>1472</v>
      </c>
      <c r="L249" s="8" t="s">
        <v>1473</v>
      </c>
      <c r="M249" s="12"/>
      <c r="N249" s="12"/>
      <c r="O249" s="12"/>
      <c r="P249" s="12"/>
      <c r="Q249" s="12"/>
      <c r="R249" s="12"/>
      <c r="S249" s="8" t="s">
        <v>1556</v>
      </c>
      <c r="T249" s="8"/>
      <c r="U249" s="8"/>
      <c r="V249" s="8" t="s">
        <v>1475</v>
      </c>
      <c r="W249" s="8" t="s">
        <v>1476</v>
      </c>
      <c r="X249" s="8"/>
      <c r="Y249" s="8"/>
      <c r="Z249" s="7" t="s">
        <v>55</v>
      </c>
      <c r="AA249" s="8" t="s">
        <v>56</v>
      </c>
      <c r="AB249" s="9" t="n">
        <v>88</v>
      </c>
      <c r="AC249" s="8" t="s">
        <v>1548</v>
      </c>
    </row>
    <row r="250" customFormat="false" ht="61.5" hidden="false" customHeight="true" outlineLevel="0" collapsed="false">
      <c r="A250" s="12" t="s">
        <v>1557</v>
      </c>
      <c r="B250" s="8" t="s">
        <v>188</v>
      </c>
      <c r="C250" s="8" t="s">
        <v>423</v>
      </c>
      <c r="D250" s="8" t="s">
        <v>424</v>
      </c>
      <c r="E250" s="8" t="s">
        <v>1558</v>
      </c>
      <c r="F250" s="8" t="s">
        <v>1559</v>
      </c>
      <c r="G250" s="8" t="s">
        <v>193</v>
      </c>
      <c r="H250" s="8" t="s">
        <v>1471</v>
      </c>
      <c r="I250" s="12" t="n">
        <v>0</v>
      </c>
      <c r="J250" s="12" t="n">
        <v>0</v>
      </c>
      <c r="K250" s="8" t="s">
        <v>1472</v>
      </c>
      <c r="L250" s="8" t="s">
        <v>1473</v>
      </c>
      <c r="M250" s="12"/>
      <c r="N250" s="12"/>
      <c r="O250" s="12"/>
      <c r="P250" s="12"/>
      <c r="Q250" s="12"/>
      <c r="R250" s="12"/>
      <c r="S250" s="8" t="s">
        <v>1560</v>
      </c>
      <c r="T250" s="8"/>
      <c r="U250" s="8"/>
      <c r="V250" s="8" t="s">
        <v>1475</v>
      </c>
      <c r="W250" s="8" t="s">
        <v>1476</v>
      </c>
      <c r="X250" s="8" t="s">
        <v>1561</v>
      </c>
      <c r="Y250" s="8"/>
      <c r="Z250" s="7" t="s">
        <v>55</v>
      </c>
      <c r="AA250" s="8" t="s">
        <v>56</v>
      </c>
      <c r="AB250" s="9" t="n">
        <v>89</v>
      </c>
      <c r="AC250" s="8" t="s">
        <v>1562</v>
      </c>
    </row>
    <row r="251" customFormat="false" ht="61.5" hidden="false" customHeight="true" outlineLevel="0" collapsed="false">
      <c r="A251" s="12" t="s">
        <v>1563</v>
      </c>
      <c r="B251" s="8" t="s">
        <v>188</v>
      </c>
      <c r="C251" s="8" t="s">
        <v>423</v>
      </c>
      <c r="D251" s="8" t="s">
        <v>424</v>
      </c>
      <c r="E251" s="8" t="s">
        <v>1564</v>
      </c>
      <c r="F251" s="8" t="s">
        <v>1565</v>
      </c>
      <c r="G251" s="8" t="s">
        <v>193</v>
      </c>
      <c r="H251" s="8" t="s">
        <v>1471</v>
      </c>
      <c r="I251" s="12" t="n">
        <v>0</v>
      </c>
      <c r="J251" s="12" t="n">
        <v>0</v>
      </c>
      <c r="K251" s="8" t="s">
        <v>1472</v>
      </c>
      <c r="L251" s="8" t="s">
        <v>1473</v>
      </c>
      <c r="M251" s="12"/>
      <c r="N251" s="12"/>
      <c r="O251" s="12"/>
      <c r="P251" s="12"/>
      <c r="Q251" s="12"/>
      <c r="R251" s="12"/>
      <c r="S251" s="8" t="s">
        <v>1566</v>
      </c>
      <c r="T251" s="8"/>
      <c r="U251" s="8"/>
      <c r="V251" s="8" t="s">
        <v>1475</v>
      </c>
      <c r="W251" s="8" t="s">
        <v>1476</v>
      </c>
      <c r="X251" s="8"/>
      <c r="Y251" s="8"/>
      <c r="Z251" s="7" t="s">
        <v>58</v>
      </c>
      <c r="AA251" s="8" t="s">
        <v>59</v>
      </c>
      <c r="AB251" s="9" t="n">
        <v>90</v>
      </c>
      <c r="AC251" s="8" t="s">
        <v>1557</v>
      </c>
    </row>
    <row r="252" customFormat="false" ht="61.5" hidden="false" customHeight="true" outlineLevel="0" collapsed="false">
      <c r="A252" s="12" t="s">
        <v>1567</v>
      </c>
      <c r="B252" s="8" t="s">
        <v>188</v>
      </c>
      <c r="C252" s="8" t="s">
        <v>423</v>
      </c>
      <c r="D252" s="8" t="s">
        <v>1568</v>
      </c>
      <c r="E252" s="8" t="s">
        <v>1569</v>
      </c>
      <c r="F252" s="8" t="s">
        <v>1570</v>
      </c>
      <c r="G252" s="8" t="s">
        <v>193</v>
      </c>
      <c r="H252" s="8" t="s">
        <v>1471</v>
      </c>
      <c r="I252" s="12" t="n">
        <v>0</v>
      </c>
      <c r="J252" s="12" t="n">
        <v>0</v>
      </c>
      <c r="K252" s="8" t="s">
        <v>1472</v>
      </c>
      <c r="L252" s="8" t="s">
        <v>1473</v>
      </c>
      <c r="M252" s="12"/>
      <c r="N252" s="12"/>
      <c r="O252" s="12"/>
      <c r="P252" s="12"/>
      <c r="Q252" s="12"/>
      <c r="R252" s="12"/>
      <c r="S252" s="8" t="s">
        <v>1571</v>
      </c>
      <c r="T252" s="8" t="s">
        <v>1572</v>
      </c>
      <c r="U252" s="8"/>
      <c r="V252" s="8" t="s">
        <v>1475</v>
      </c>
      <c r="W252" s="8" t="s">
        <v>1476</v>
      </c>
      <c r="X252" s="8"/>
      <c r="Y252" s="8"/>
      <c r="Z252" s="7" t="s">
        <v>58</v>
      </c>
      <c r="AA252" s="8" t="s">
        <v>59</v>
      </c>
      <c r="AB252" s="9" t="n">
        <v>93</v>
      </c>
      <c r="AC252" s="8" t="s">
        <v>1573</v>
      </c>
    </row>
    <row r="253" customFormat="false" ht="61.5" hidden="false" customHeight="true" outlineLevel="0" collapsed="false">
      <c r="A253" s="12" t="s">
        <v>1574</v>
      </c>
      <c r="B253" s="8" t="s">
        <v>188</v>
      </c>
      <c r="C253" s="8" t="s">
        <v>423</v>
      </c>
      <c r="D253" s="8" t="s">
        <v>1568</v>
      </c>
      <c r="E253" s="8" t="s">
        <v>1575</v>
      </c>
      <c r="F253" s="8" t="s">
        <v>1576</v>
      </c>
      <c r="G253" s="8" t="s">
        <v>193</v>
      </c>
      <c r="H253" s="8" t="s">
        <v>1471</v>
      </c>
      <c r="I253" s="12" t="n">
        <v>0</v>
      </c>
      <c r="J253" s="12" t="n">
        <v>0</v>
      </c>
      <c r="K253" s="8" t="s">
        <v>1472</v>
      </c>
      <c r="L253" s="8" t="s">
        <v>1473</v>
      </c>
      <c r="M253" s="12"/>
      <c r="N253" s="12"/>
      <c r="O253" s="12"/>
      <c r="P253" s="12"/>
      <c r="Q253" s="12"/>
      <c r="R253" s="12"/>
      <c r="S253" s="8" t="s">
        <v>1577</v>
      </c>
      <c r="T253" s="8"/>
      <c r="U253" s="8"/>
      <c r="V253" s="8" t="s">
        <v>1475</v>
      </c>
      <c r="W253" s="8" t="s">
        <v>1476</v>
      </c>
      <c r="X253" s="8"/>
      <c r="Y253" s="8"/>
      <c r="Z253" s="7" t="s">
        <v>58</v>
      </c>
      <c r="AA253" s="8" t="s">
        <v>59</v>
      </c>
      <c r="AB253" s="9" t="n">
        <v>94</v>
      </c>
      <c r="AC253" s="8" t="s">
        <v>1578</v>
      </c>
    </row>
    <row r="254" customFormat="false" ht="61.5" hidden="false" customHeight="true" outlineLevel="0" collapsed="false">
      <c r="A254" s="12" t="s">
        <v>1579</v>
      </c>
      <c r="B254" s="8" t="s">
        <v>188</v>
      </c>
      <c r="C254" s="8" t="s">
        <v>423</v>
      </c>
      <c r="D254" s="8" t="s">
        <v>431</v>
      </c>
      <c r="E254" s="8" t="s">
        <v>1580</v>
      </c>
      <c r="F254" s="8" t="s">
        <v>1581</v>
      </c>
      <c r="G254" s="8" t="s">
        <v>193</v>
      </c>
      <c r="H254" s="8" t="s">
        <v>1471</v>
      </c>
      <c r="I254" s="12" t="n">
        <v>0</v>
      </c>
      <c r="J254" s="12" t="n">
        <v>0</v>
      </c>
      <c r="K254" s="8" t="s">
        <v>1472</v>
      </c>
      <c r="L254" s="8" t="s">
        <v>1473</v>
      </c>
      <c r="M254" s="12"/>
      <c r="N254" s="12"/>
      <c r="O254" s="12"/>
      <c r="P254" s="12"/>
      <c r="Q254" s="12"/>
      <c r="R254" s="12"/>
      <c r="S254" s="8" t="s">
        <v>1582</v>
      </c>
      <c r="T254" s="8" t="s">
        <v>1583</v>
      </c>
      <c r="U254" s="8"/>
      <c r="V254" s="8" t="s">
        <v>1475</v>
      </c>
      <c r="W254" s="8" t="s">
        <v>1476</v>
      </c>
      <c r="X254" s="8"/>
      <c r="Y254" s="8"/>
      <c r="Z254" s="7" t="s">
        <v>58</v>
      </c>
      <c r="AA254" s="8" t="s">
        <v>59</v>
      </c>
      <c r="AB254" s="9" t="n">
        <v>95</v>
      </c>
      <c r="AC254" s="8" t="s">
        <v>1584</v>
      </c>
    </row>
    <row r="255" customFormat="false" ht="61.5" hidden="false" customHeight="true" outlineLevel="0" collapsed="false">
      <c r="A255" s="12" t="s">
        <v>1585</v>
      </c>
      <c r="B255" s="8" t="s">
        <v>188</v>
      </c>
      <c r="C255" s="8" t="s">
        <v>423</v>
      </c>
      <c r="D255" s="8" t="s">
        <v>437</v>
      </c>
      <c r="E255" s="8" t="s">
        <v>1586</v>
      </c>
      <c r="F255" s="8" t="s">
        <v>1587</v>
      </c>
      <c r="G255" s="8" t="s">
        <v>193</v>
      </c>
      <c r="H255" s="8" t="s">
        <v>1471</v>
      </c>
      <c r="I255" s="12" t="n">
        <v>0</v>
      </c>
      <c r="J255" s="12" t="n">
        <v>0</v>
      </c>
      <c r="K255" s="8" t="s">
        <v>1472</v>
      </c>
      <c r="L255" s="8" t="s">
        <v>1473</v>
      </c>
      <c r="M255" s="12"/>
      <c r="N255" s="12"/>
      <c r="O255" s="12"/>
      <c r="P255" s="12"/>
      <c r="Q255" s="12"/>
      <c r="R255" s="12"/>
      <c r="S255" s="8" t="s">
        <v>1588</v>
      </c>
      <c r="T255" s="8"/>
      <c r="U255" s="8"/>
      <c r="V255" s="8" t="s">
        <v>1475</v>
      </c>
      <c r="W255" s="8" t="s">
        <v>1476</v>
      </c>
      <c r="X255" s="8"/>
      <c r="Y255" s="8"/>
      <c r="Z255" s="7" t="s">
        <v>61</v>
      </c>
      <c r="AA255" s="8" t="s">
        <v>62</v>
      </c>
      <c r="AB255" s="9" t="n">
        <v>113</v>
      </c>
      <c r="AC255" s="8" t="s">
        <v>1589</v>
      </c>
    </row>
    <row r="256" customFormat="false" ht="61.5" hidden="false" customHeight="true" outlineLevel="0" collapsed="false">
      <c r="A256" s="12" t="s">
        <v>1590</v>
      </c>
      <c r="B256" s="8" t="s">
        <v>188</v>
      </c>
      <c r="C256" s="8" t="s">
        <v>423</v>
      </c>
      <c r="D256" s="8" t="s">
        <v>437</v>
      </c>
      <c r="E256" s="8" t="s">
        <v>1591</v>
      </c>
      <c r="F256" s="8" t="s">
        <v>1592</v>
      </c>
      <c r="G256" s="8" t="s">
        <v>193</v>
      </c>
      <c r="H256" s="8" t="s">
        <v>1471</v>
      </c>
      <c r="I256" s="12" t="n">
        <v>0</v>
      </c>
      <c r="J256" s="12" t="n">
        <v>0</v>
      </c>
      <c r="K256" s="8" t="s">
        <v>1472</v>
      </c>
      <c r="L256" s="8" t="s">
        <v>1473</v>
      </c>
      <c r="M256" s="12"/>
      <c r="N256" s="12"/>
      <c r="O256" s="12"/>
      <c r="P256" s="12"/>
      <c r="Q256" s="12"/>
      <c r="R256" s="12"/>
      <c r="S256" s="8" t="s">
        <v>1593</v>
      </c>
      <c r="T256" s="8"/>
      <c r="U256" s="8"/>
      <c r="V256" s="8" t="s">
        <v>1475</v>
      </c>
      <c r="W256" s="8" t="s">
        <v>1476</v>
      </c>
      <c r="X256" s="8" t="s">
        <v>1594</v>
      </c>
      <c r="Y256" s="8"/>
      <c r="Z256" s="7" t="s">
        <v>58</v>
      </c>
      <c r="AA256" s="8" t="s">
        <v>59</v>
      </c>
      <c r="AB256" s="9" t="n">
        <v>102</v>
      </c>
      <c r="AC256" s="8" t="s">
        <v>436</v>
      </c>
    </row>
    <row r="257" customFormat="false" ht="61.5" hidden="false" customHeight="true" outlineLevel="0" collapsed="false">
      <c r="A257" s="12" t="s">
        <v>1595</v>
      </c>
      <c r="B257" s="8" t="s">
        <v>188</v>
      </c>
      <c r="C257" s="8" t="s">
        <v>423</v>
      </c>
      <c r="D257" s="8" t="s">
        <v>437</v>
      </c>
      <c r="E257" s="8" t="s">
        <v>1596</v>
      </c>
      <c r="F257" s="8" t="s">
        <v>1597</v>
      </c>
      <c r="G257" s="8" t="s">
        <v>193</v>
      </c>
      <c r="H257" s="8" t="s">
        <v>1471</v>
      </c>
      <c r="I257" s="12" t="n">
        <v>0</v>
      </c>
      <c r="J257" s="12" t="n">
        <v>0</v>
      </c>
      <c r="K257" s="8" t="s">
        <v>1472</v>
      </c>
      <c r="L257" s="8" t="s">
        <v>1473</v>
      </c>
      <c r="M257" s="12"/>
      <c r="N257" s="12"/>
      <c r="O257" s="12"/>
      <c r="P257" s="12"/>
      <c r="Q257" s="12"/>
      <c r="R257" s="12"/>
      <c r="S257" s="8" t="s">
        <v>1598</v>
      </c>
      <c r="T257" s="8" t="s">
        <v>1599</v>
      </c>
      <c r="U257" s="8"/>
      <c r="V257" s="8" t="s">
        <v>1475</v>
      </c>
      <c r="W257" s="8" t="s">
        <v>1476</v>
      </c>
      <c r="X257" s="8" t="s">
        <v>1600</v>
      </c>
      <c r="Y257" s="8"/>
      <c r="Z257" s="7" t="s">
        <v>58</v>
      </c>
      <c r="AA257" s="8" t="s">
        <v>59</v>
      </c>
      <c r="AB257" s="9" t="n">
        <v>103</v>
      </c>
      <c r="AC257" s="8" t="s">
        <v>1601</v>
      </c>
    </row>
    <row r="258" customFormat="false" ht="61.5" hidden="false" customHeight="true" outlineLevel="0" collapsed="false">
      <c r="A258" s="12" t="s">
        <v>1602</v>
      </c>
      <c r="B258" s="8" t="s">
        <v>188</v>
      </c>
      <c r="C258" s="8" t="s">
        <v>423</v>
      </c>
      <c r="D258" s="8" t="s">
        <v>424</v>
      </c>
      <c r="E258" s="8" t="s">
        <v>1603</v>
      </c>
      <c r="F258" s="8" t="s">
        <v>1604</v>
      </c>
      <c r="G258" s="8" t="s">
        <v>193</v>
      </c>
      <c r="H258" s="8" t="s">
        <v>1471</v>
      </c>
      <c r="I258" s="12" t="n">
        <v>0</v>
      </c>
      <c r="J258" s="12" t="n">
        <v>0</v>
      </c>
      <c r="K258" s="8" t="s">
        <v>1472</v>
      </c>
      <c r="L258" s="8" t="s">
        <v>1473</v>
      </c>
      <c r="M258" s="12"/>
      <c r="N258" s="12"/>
      <c r="O258" s="12"/>
      <c r="P258" s="12"/>
      <c r="Q258" s="12"/>
      <c r="R258" s="12"/>
      <c r="S258" s="8" t="s">
        <v>1605</v>
      </c>
      <c r="T258" s="8"/>
      <c r="U258" s="8"/>
      <c r="V258" s="8" t="s">
        <v>1475</v>
      </c>
      <c r="W258" s="8" t="s">
        <v>1476</v>
      </c>
      <c r="X258" s="8"/>
      <c r="Y258" s="8"/>
      <c r="Z258" s="7" t="s">
        <v>58</v>
      </c>
      <c r="AA258" s="8" t="s">
        <v>59</v>
      </c>
      <c r="AB258" s="9" t="n">
        <v>105</v>
      </c>
      <c r="AC258" s="8" t="s">
        <v>446</v>
      </c>
    </row>
    <row r="259" customFormat="false" ht="61.5" hidden="false" customHeight="true" outlineLevel="0" collapsed="false">
      <c r="A259" s="12" t="s">
        <v>1606</v>
      </c>
      <c r="B259" s="8" t="s">
        <v>188</v>
      </c>
      <c r="C259" s="8" t="s">
        <v>532</v>
      </c>
      <c r="D259" s="8" t="s">
        <v>1517</v>
      </c>
      <c r="E259" s="8" t="s">
        <v>1607</v>
      </c>
      <c r="F259" s="8" t="s">
        <v>1608</v>
      </c>
      <c r="G259" s="8" t="s">
        <v>193</v>
      </c>
      <c r="H259" s="8" t="s">
        <v>1471</v>
      </c>
      <c r="I259" s="12" t="n">
        <v>0</v>
      </c>
      <c r="J259" s="12" t="n">
        <v>0</v>
      </c>
      <c r="K259" s="8" t="s">
        <v>1472</v>
      </c>
      <c r="L259" s="8" t="s">
        <v>1473</v>
      </c>
      <c r="M259" s="12"/>
      <c r="N259" s="12"/>
      <c r="O259" s="12"/>
      <c r="P259" s="12"/>
      <c r="Q259" s="12"/>
      <c r="R259" s="12"/>
      <c r="S259" s="8" t="s">
        <v>1609</v>
      </c>
      <c r="T259" s="8"/>
      <c r="U259" s="8"/>
      <c r="V259" s="8" t="s">
        <v>1475</v>
      </c>
      <c r="W259" s="8" t="s">
        <v>1476</v>
      </c>
      <c r="X259" s="8"/>
      <c r="Y259" s="8"/>
      <c r="Z259" s="7" t="s">
        <v>64</v>
      </c>
      <c r="AA259" s="8" t="s">
        <v>65</v>
      </c>
      <c r="AB259" s="9" t="n">
        <v>131</v>
      </c>
      <c r="AC259" s="8" t="s">
        <v>1610</v>
      </c>
    </row>
    <row r="260" customFormat="false" ht="61.5" hidden="false" customHeight="true" outlineLevel="0" collapsed="false">
      <c r="A260" s="12" t="s">
        <v>1611</v>
      </c>
      <c r="B260" s="8" t="s">
        <v>188</v>
      </c>
      <c r="C260" s="8" t="s">
        <v>532</v>
      </c>
      <c r="D260" s="8" t="s">
        <v>1612</v>
      </c>
      <c r="E260" s="8" t="s">
        <v>1613</v>
      </c>
      <c r="F260" s="8" t="s">
        <v>1614</v>
      </c>
      <c r="G260" s="8" t="s">
        <v>193</v>
      </c>
      <c r="H260" s="8" t="s">
        <v>1471</v>
      </c>
      <c r="I260" s="12" t="n">
        <v>0</v>
      </c>
      <c r="J260" s="12" t="n">
        <v>0</v>
      </c>
      <c r="K260" s="8" t="s">
        <v>1472</v>
      </c>
      <c r="L260" s="8" t="s">
        <v>1473</v>
      </c>
      <c r="M260" s="12"/>
      <c r="N260" s="12"/>
      <c r="O260" s="12"/>
      <c r="P260" s="12"/>
      <c r="Q260" s="12"/>
      <c r="R260" s="12"/>
      <c r="S260" s="8" t="s">
        <v>1615</v>
      </c>
      <c r="T260" s="8"/>
      <c r="U260" s="8"/>
      <c r="V260" s="8" t="s">
        <v>1475</v>
      </c>
      <c r="W260" s="8" t="s">
        <v>1476</v>
      </c>
      <c r="X260" s="8" t="s">
        <v>1616</v>
      </c>
      <c r="Y260" s="8"/>
      <c r="Z260" s="7" t="s">
        <v>64</v>
      </c>
      <c r="AA260" s="8" t="s">
        <v>65</v>
      </c>
      <c r="AB260" s="9" t="n">
        <v>135</v>
      </c>
      <c r="AC260" s="8" t="s">
        <v>1617</v>
      </c>
    </row>
    <row r="261" customFormat="false" ht="61.5" hidden="false" customHeight="true" outlineLevel="0" collapsed="false">
      <c r="A261" s="12" t="s">
        <v>1618</v>
      </c>
      <c r="B261" s="8" t="s">
        <v>188</v>
      </c>
      <c r="C261" s="8" t="s">
        <v>532</v>
      </c>
      <c r="D261" s="8" t="s">
        <v>1517</v>
      </c>
      <c r="E261" s="8" t="s">
        <v>1619</v>
      </c>
      <c r="F261" s="8" t="s">
        <v>1620</v>
      </c>
      <c r="G261" s="8" t="s">
        <v>193</v>
      </c>
      <c r="H261" s="8" t="s">
        <v>1471</v>
      </c>
      <c r="I261" s="12" t="n">
        <v>0</v>
      </c>
      <c r="J261" s="12" t="n">
        <v>0</v>
      </c>
      <c r="K261" s="8" t="s">
        <v>1472</v>
      </c>
      <c r="L261" s="8" t="s">
        <v>1473</v>
      </c>
      <c r="M261" s="12"/>
      <c r="N261" s="12"/>
      <c r="O261" s="12"/>
      <c r="P261" s="12"/>
      <c r="Q261" s="12"/>
      <c r="R261" s="12"/>
      <c r="S261" s="8" t="s">
        <v>1621</v>
      </c>
      <c r="T261" s="8"/>
      <c r="U261" s="8"/>
      <c r="V261" s="8" t="s">
        <v>1475</v>
      </c>
      <c r="W261" s="8" t="s">
        <v>1476</v>
      </c>
      <c r="X261" s="8"/>
      <c r="Y261" s="8"/>
      <c r="Z261" s="7" t="s">
        <v>64</v>
      </c>
      <c r="AA261" s="8" t="s">
        <v>65</v>
      </c>
      <c r="AB261" s="9" t="n">
        <v>136</v>
      </c>
      <c r="AC261" s="8" t="s">
        <v>1622</v>
      </c>
    </row>
    <row r="262" customFormat="false" ht="61.5" hidden="false" customHeight="true" outlineLevel="0" collapsed="false">
      <c r="A262" s="12" t="s">
        <v>1623</v>
      </c>
      <c r="B262" s="8" t="s">
        <v>188</v>
      </c>
      <c r="C262" s="8" t="s">
        <v>532</v>
      </c>
      <c r="D262" s="8" t="s">
        <v>533</v>
      </c>
      <c r="E262" s="8" t="s">
        <v>1624</v>
      </c>
      <c r="F262" s="8" t="s">
        <v>1625</v>
      </c>
      <c r="G262" s="8" t="s">
        <v>193</v>
      </c>
      <c r="H262" s="8" t="s">
        <v>1471</v>
      </c>
      <c r="I262" s="12" t="n">
        <v>0</v>
      </c>
      <c r="J262" s="12" t="n">
        <v>0</v>
      </c>
      <c r="K262" s="8" t="s">
        <v>1472</v>
      </c>
      <c r="L262" s="8" t="s">
        <v>1473</v>
      </c>
      <c r="M262" s="12"/>
      <c r="N262" s="12"/>
      <c r="O262" s="12"/>
      <c r="P262" s="12"/>
      <c r="Q262" s="12"/>
      <c r="R262" s="12"/>
      <c r="S262" s="8" t="s">
        <v>1626</v>
      </c>
      <c r="T262" s="8"/>
      <c r="U262" s="8"/>
      <c r="V262" s="8" t="s">
        <v>1475</v>
      </c>
      <c r="W262" s="8" t="s">
        <v>1476</v>
      </c>
      <c r="X262" s="8"/>
      <c r="Y262" s="8"/>
      <c r="Z262" s="7" t="s">
        <v>64</v>
      </c>
      <c r="AA262" s="8" t="s">
        <v>65</v>
      </c>
      <c r="AB262" s="9" t="n">
        <v>137</v>
      </c>
      <c r="AC262" s="8" t="s">
        <v>1627</v>
      </c>
    </row>
    <row r="263" customFormat="false" ht="61.5" hidden="false" customHeight="true" outlineLevel="0" collapsed="false">
      <c r="A263" s="12" t="s">
        <v>1628</v>
      </c>
      <c r="B263" s="8" t="s">
        <v>188</v>
      </c>
      <c r="C263" s="8" t="s">
        <v>532</v>
      </c>
      <c r="D263" s="8" t="s">
        <v>533</v>
      </c>
      <c r="E263" s="8" t="s">
        <v>1629</v>
      </c>
      <c r="F263" s="8" t="s">
        <v>1630</v>
      </c>
      <c r="G263" s="8" t="s">
        <v>193</v>
      </c>
      <c r="H263" s="8" t="s">
        <v>1471</v>
      </c>
      <c r="I263" s="12" t="n">
        <v>0</v>
      </c>
      <c r="J263" s="12" t="n">
        <v>0</v>
      </c>
      <c r="K263" s="8" t="s">
        <v>1472</v>
      </c>
      <c r="L263" s="8" t="s">
        <v>1473</v>
      </c>
      <c r="M263" s="12"/>
      <c r="N263" s="12"/>
      <c r="O263" s="12"/>
      <c r="P263" s="12"/>
      <c r="Q263" s="12"/>
      <c r="R263" s="12"/>
      <c r="S263" s="8" t="s">
        <v>1631</v>
      </c>
      <c r="T263" s="8" t="s">
        <v>1632</v>
      </c>
      <c r="U263" s="8"/>
      <c r="V263" s="8" t="s">
        <v>1475</v>
      </c>
      <c r="W263" s="8" t="s">
        <v>1476</v>
      </c>
      <c r="X263" s="8" t="s">
        <v>1633</v>
      </c>
      <c r="Y263" s="8"/>
      <c r="Z263" s="7" t="s">
        <v>64</v>
      </c>
      <c r="AA263" s="8" t="s">
        <v>65</v>
      </c>
      <c r="AB263" s="9" t="n">
        <v>138</v>
      </c>
      <c r="AC263" s="8" t="s">
        <v>1634</v>
      </c>
    </row>
    <row r="264" customFormat="false" ht="61.5" hidden="false" customHeight="true" outlineLevel="0" collapsed="false">
      <c r="A264" s="12" t="s">
        <v>1635</v>
      </c>
      <c r="B264" s="8" t="s">
        <v>188</v>
      </c>
      <c r="C264" s="8" t="s">
        <v>532</v>
      </c>
      <c r="D264" s="8" t="s">
        <v>1517</v>
      </c>
      <c r="E264" s="8" t="s">
        <v>1636</v>
      </c>
      <c r="F264" s="8" t="s">
        <v>1637</v>
      </c>
      <c r="G264" s="8" t="s">
        <v>193</v>
      </c>
      <c r="H264" s="8" t="s">
        <v>1471</v>
      </c>
      <c r="I264" s="12" t="n">
        <v>0</v>
      </c>
      <c r="J264" s="12" t="n">
        <v>0</v>
      </c>
      <c r="K264" s="8" t="s">
        <v>1472</v>
      </c>
      <c r="L264" s="8" t="s">
        <v>1473</v>
      </c>
      <c r="M264" s="12"/>
      <c r="N264" s="12"/>
      <c r="O264" s="12"/>
      <c r="P264" s="12"/>
      <c r="Q264" s="12"/>
      <c r="R264" s="12"/>
      <c r="S264" s="8" t="s">
        <v>1638</v>
      </c>
      <c r="T264" s="8"/>
      <c r="U264" s="8"/>
      <c r="V264" s="8" t="s">
        <v>1475</v>
      </c>
      <c r="W264" s="8" t="s">
        <v>1476</v>
      </c>
      <c r="X264" s="8"/>
      <c r="Y264" s="8"/>
      <c r="Z264" s="7" t="s">
        <v>67</v>
      </c>
      <c r="AA264" s="8" t="s">
        <v>68</v>
      </c>
      <c r="AB264" s="9" t="n">
        <v>146</v>
      </c>
      <c r="AC264" s="8" t="s">
        <v>1639</v>
      </c>
    </row>
    <row r="265" customFormat="false" ht="61.5" hidden="false" customHeight="true" outlineLevel="0" collapsed="false">
      <c r="A265" s="12" t="s">
        <v>1640</v>
      </c>
      <c r="B265" s="8" t="s">
        <v>188</v>
      </c>
      <c r="C265" s="8" t="s">
        <v>532</v>
      </c>
      <c r="D265" s="8" t="s">
        <v>1641</v>
      </c>
      <c r="E265" s="8" t="s">
        <v>1642</v>
      </c>
      <c r="F265" s="8" t="s">
        <v>1643</v>
      </c>
      <c r="G265" s="8" t="s">
        <v>193</v>
      </c>
      <c r="H265" s="8" t="s">
        <v>1471</v>
      </c>
      <c r="I265" s="12" t="n">
        <v>0</v>
      </c>
      <c r="J265" s="12" t="n">
        <v>0</v>
      </c>
      <c r="K265" s="8" t="s">
        <v>1472</v>
      </c>
      <c r="L265" s="8" t="s">
        <v>1473</v>
      </c>
      <c r="M265" s="12"/>
      <c r="N265" s="12"/>
      <c r="O265" s="12"/>
      <c r="P265" s="12"/>
      <c r="Q265" s="12"/>
      <c r="R265" s="12"/>
      <c r="S265" s="8" t="s">
        <v>1644</v>
      </c>
      <c r="T265" s="8"/>
      <c r="U265" s="8"/>
      <c r="V265" s="8" t="s">
        <v>1475</v>
      </c>
      <c r="W265" s="8" t="s">
        <v>1476</v>
      </c>
      <c r="X265" s="8"/>
      <c r="Y265" s="8"/>
      <c r="Z265" s="7" t="s">
        <v>67</v>
      </c>
      <c r="AA265" s="8" t="s">
        <v>68</v>
      </c>
      <c r="AB265" s="9" t="n">
        <v>147</v>
      </c>
      <c r="AC265" s="8" t="s">
        <v>1645</v>
      </c>
    </row>
    <row r="266" customFormat="false" ht="61.5" hidden="false" customHeight="true" outlineLevel="0" collapsed="false">
      <c r="A266" s="12" t="s">
        <v>1646</v>
      </c>
      <c r="B266" s="8" t="s">
        <v>188</v>
      </c>
      <c r="C266" s="8" t="s">
        <v>567</v>
      </c>
      <c r="D266" s="8" t="s">
        <v>512</v>
      </c>
      <c r="E266" s="8" t="s">
        <v>1647</v>
      </c>
      <c r="F266" s="8" t="s">
        <v>1648</v>
      </c>
      <c r="G266" s="8" t="s">
        <v>193</v>
      </c>
      <c r="H266" s="8" t="s">
        <v>1471</v>
      </c>
      <c r="I266" s="12" t="n">
        <v>0</v>
      </c>
      <c r="J266" s="12" t="n">
        <v>0</v>
      </c>
      <c r="K266" s="8" t="s">
        <v>1472</v>
      </c>
      <c r="L266" s="8" t="s">
        <v>1473</v>
      </c>
      <c r="M266" s="12"/>
      <c r="N266" s="12"/>
      <c r="O266" s="12"/>
      <c r="P266" s="12"/>
      <c r="Q266" s="12"/>
      <c r="R266" s="12"/>
      <c r="S266" s="8" t="s">
        <v>1649</v>
      </c>
      <c r="T266" s="8"/>
      <c r="U266" s="8"/>
      <c r="V266" s="8" t="s">
        <v>1475</v>
      </c>
      <c r="W266" s="8" t="s">
        <v>1476</v>
      </c>
      <c r="X266" s="8" t="s">
        <v>1650</v>
      </c>
      <c r="Y266" s="8"/>
      <c r="Z266" s="7" t="s">
        <v>67</v>
      </c>
      <c r="AA266" s="8" t="s">
        <v>68</v>
      </c>
      <c r="AB266" s="9" t="n">
        <v>148</v>
      </c>
      <c r="AC266" s="8" t="s">
        <v>1651</v>
      </c>
    </row>
    <row r="267" customFormat="false" ht="61.5" hidden="false" customHeight="true" outlineLevel="0" collapsed="false">
      <c r="A267" s="12" t="s">
        <v>1652</v>
      </c>
      <c r="B267" s="8" t="s">
        <v>188</v>
      </c>
      <c r="C267" s="8" t="s">
        <v>532</v>
      </c>
      <c r="D267" s="8" t="s">
        <v>1641</v>
      </c>
      <c r="E267" s="8" t="s">
        <v>1653</v>
      </c>
      <c r="F267" s="8" t="s">
        <v>1654</v>
      </c>
      <c r="G267" s="8" t="s">
        <v>193</v>
      </c>
      <c r="H267" s="8" t="s">
        <v>1471</v>
      </c>
      <c r="I267" s="12" t="n">
        <v>0</v>
      </c>
      <c r="J267" s="12" t="n">
        <v>0</v>
      </c>
      <c r="K267" s="8" t="s">
        <v>1472</v>
      </c>
      <c r="L267" s="8" t="s">
        <v>1473</v>
      </c>
      <c r="M267" s="12"/>
      <c r="N267" s="12"/>
      <c r="O267" s="12"/>
      <c r="P267" s="12"/>
      <c r="Q267" s="12"/>
      <c r="R267" s="12"/>
      <c r="S267" s="8" t="s">
        <v>1655</v>
      </c>
      <c r="T267" s="8"/>
      <c r="U267" s="8"/>
      <c r="V267" s="8" t="s">
        <v>1475</v>
      </c>
      <c r="W267" s="8" t="s">
        <v>1476</v>
      </c>
      <c r="X267" s="8" t="s">
        <v>1541</v>
      </c>
      <c r="Y267" s="8"/>
      <c r="Z267" s="7" t="s">
        <v>70</v>
      </c>
      <c r="AA267" s="8" t="s">
        <v>71</v>
      </c>
      <c r="AB267" s="9" t="n">
        <v>165</v>
      </c>
      <c r="AC267" s="8" t="s">
        <v>775</v>
      </c>
    </row>
    <row r="268" customFormat="false" ht="61.5" hidden="false" customHeight="true" outlineLevel="0" collapsed="false">
      <c r="A268" s="12" t="s">
        <v>1656</v>
      </c>
      <c r="B268" s="8" t="s">
        <v>188</v>
      </c>
      <c r="C268" s="8" t="s">
        <v>567</v>
      </c>
      <c r="D268" s="8" t="s">
        <v>1657</v>
      </c>
      <c r="E268" s="8" t="s">
        <v>1658</v>
      </c>
      <c r="F268" s="8" t="s">
        <v>1659</v>
      </c>
      <c r="G268" s="8" t="s">
        <v>193</v>
      </c>
      <c r="H268" s="8" t="s">
        <v>1471</v>
      </c>
      <c r="I268" s="12" t="n">
        <v>0</v>
      </c>
      <c r="J268" s="12" t="n">
        <v>0</v>
      </c>
      <c r="K268" s="8" t="s">
        <v>1472</v>
      </c>
      <c r="L268" s="8" t="s">
        <v>1473</v>
      </c>
      <c r="M268" s="12"/>
      <c r="N268" s="12"/>
      <c r="O268" s="12"/>
      <c r="P268" s="12"/>
      <c r="Q268" s="12"/>
      <c r="R268" s="12"/>
      <c r="S268" s="8" t="s">
        <v>1660</v>
      </c>
      <c r="T268" s="8"/>
      <c r="U268" s="8"/>
      <c r="V268" s="8" t="s">
        <v>1475</v>
      </c>
      <c r="W268" s="8" t="s">
        <v>1476</v>
      </c>
      <c r="X268" s="8" t="s">
        <v>1661</v>
      </c>
      <c r="Y268" s="8"/>
      <c r="Z268" s="7" t="s">
        <v>67</v>
      </c>
      <c r="AA268" s="8" t="s">
        <v>68</v>
      </c>
      <c r="AB268" s="9" t="n">
        <v>149</v>
      </c>
      <c r="AC268" s="8" t="s">
        <v>1662</v>
      </c>
    </row>
    <row r="269" customFormat="false" ht="61.5" hidden="false" customHeight="true" outlineLevel="0" collapsed="false">
      <c r="A269" s="12" t="s">
        <v>1663</v>
      </c>
      <c r="B269" s="8" t="s">
        <v>188</v>
      </c>
      <c r="C269" s="8" t="s">
        <v>567</v>
      </c>
      <c r="D269" s="8" t="s">
        <v>1657</v>
      </c>
      <c r="E269" s="8" t="s">
        <v>1664</v>
      </c>
      <c r="F269" s="8" t="s">
        <v>1665</v>
      </c>
      <c r="G269" s="8" t="s">
        <v>193</v>
      </c>
      <c r="H269" s="8" t="s">
        <v>1471</v>
      </c>
      <c r="I269" s="12" t="n">
        <v>0</v>
      </c>
      <c r="J269" s="12" t="n">
        <v>0</v>
      </c>
      <c r="K269" s="8" t="s">
        <v>1472</v>
      </c>
      <c r="L269" s="8" t="s">
        <v>1473</v>
      </c>
      <c r="M269" s="12"/>
      <c r="N269" s="12"/>
      <c r="O269" s="12"/>
      <c r="P269" s="12"/>
      <c r="Q269" s="12"/>
      <c r="R269" s="12"/>
      <c r="S269" s="8" t="s">
        <v>1666</v>
      </c>
      <c r="T269" s="8"/>
      <c r="U269" s="8"/>
      <c r="V269" s="8" t="s">
        <v>1475</v>
      </c>
      <c r="W269" s="8" t="s">
        <v>1476</v>
      </c>
      <c r="X269" s="8" t="s">
        <v>1667</v>
      </c>
      <c r="Y269" s="8"/>
      <c r="Z269" s="7" t="s">
        <v>67</v>
      </c>
      <c r="AA269" s="8" t="s">
        <v>68</v>
      </c>
      <c r="AB269" s="9" t="n">
        <v>150</v>
      </c>
      <c r="AC269" s="8" t="s">
        <v>1662</v>
      </c>
    </row>
    <row r="270" customFormat="false" ht="61.5" hidden="false" customHeight="true" outlineLevel="0" collapsed="false">
      <c r="A270" s="12" t="s">
        <v>1668</v>
      </c>
      <c r="B270" s="8" t="s">
        <v>188</v>
      </c>
      <c r="C270" s="8" t="s">
        <v>567</v>
      </c>
      <c r="D270" s="8" t="s">
        <v>1657</v>
      </c>
      <c r="E270" s="8" t="s">
        <v>1669</v>
      </c>
      <c r="F270" s="8" t="s">
        <v>1670</v>
      </c>
      <c r="G270" s="8" t="s">
        <v>193</v>
      </c>
      <c r="H270" s="8" t="s">
        <v>1471</v>
      </c>
      <c r="I270" s="12" t="n">
        <v>0</v>
      </c>
      <c r="J270" s="12" t="n">
        <v>0</v>
      </c>
      <c r="K270" s="8" t="s">
        <v>1472</v>
      </c>
      <c r="L270" s="8" t="s">
        <v>1473</v>
      </c>
      <c r="M270" s="12"/>
      <c r="N270" s="12"/>
      <c r="O270" s="12"/>
      <c r="P270" s="12"/>
      <c r="Q270" s="12"/>
      <c r="R270" s="12"/>
      <c r="S270" s="8" t="s">
        <v>1671</v>
      </c>
      <c r="T270" s="8"/>
      <c r="U270" s="8"/>
      <c r="V270" s="8" t="s">
        <v>1475</v>
      </c>
      <c r="W270" s="8" t="s">
        <v>1476</v>
      </c>
      <c r="X270" s="8" t="s">
        <v>1667</v>
      </c>
      <c r="Y270" s="8"/>
      <c r="Z270" s="7" t="s">
        <v>67</v>
      </c>
      <c r="AA270" s="8" t="s">
        <v>68</v>
      </c>
      <c r="AB270" s="9" t="n">
        <v>151</v>
      </c>
      <c r="AC270" s="8" t="s">
        <v>1662</v>
      </c>
    </row>
    <row r="271" customFormat="false" ht="61.5" hidden="false" customHeight="true" outlineLevel="0" collapsed="false">
      <c r="A271" s="12" t="s">
        <v>1672</v>
      </c>
      <c r="B271" s="8" t="s">
        <v>188</v>
      </c>
      <c r="C271" s="8" t="s">
        <v>567</v>
      </c>
      <c r="D271" s="8" t="s">
        <v>512</v>
      </c>
      <c r="E271" s="8" t="s">
        <v>1673</v>
      </c>
      <c r="F271" s="8" t="s">
        <v>1674</v>
      </c>
      <c r="G271" s="8" t="s">
        <v>193</v>
      </c>
      <c r="H271" s="8" t="s">
        <v>1471</v>
      </c>
      <c r="I271" s="12" t="n">
        <v>0</v>
      </c>
      <c r="J271" s="12" t="n">
        <v>0</v>
      </c>
      <c r="K271" s="8" t="s">
        <v>1472</v>
      </c>
      <c r="L271" s="8" t="s">
        <v>1473</v>
      </c>
      <c r="M271" s="12"/>
      <c r="N271" s="12"/>
      <c r="O271" s="12"/>
      <c r="P271" s="12"/>
      <c r="Q271" s="12"/>
      <c r="R271" s="12"/>
      <c r="S271" s="8" t="s">
        <v>1675</v>
      </c>
      <c r="T271" s="8"/>
      <c r="U271" s="8"/>
      <c r="V271" s="8" t="s">
        <v>1475</v>
      </c>
      <c r="W271" s="8" t="s">
        <v>1476</v>
      </c>
      <c r="X271" s="8"/>
      <c r="Y271" s="8"/>
      <c r="Z271" s="7" t="s">
        <v>73</v>
      </c>
      <c r="AA271" s="8" t="s">
        <v>74</v>
      </c>
      <c r="AB271" s="9" t="n">
        <v>171</v>
      </c>
      <c r="AC271" s="8" t="s">
        <v>1676</v>
      </c>
    </row>
    <row r="272" customFormat="false" ht="61.5" hidden="false" customHeight="true" outlineLevel="0" collapsed="false">
      <c r="A272" s="12" t="s">
        <v>1677</v>
      </c>
      <c r="B272" s="8" t="s">
        <v>188</v>
      </c>
      <c r="C272" s="8" t="s">
        <v>645</v>
      </c>
      <c r="D272" s="8" t="s">
        <v>646</v>
      </c>
      <c r="E272" s="8" t="s">
        <v>1678</v>
      </c>
      <c r="F272" s="8" t="s">
        <v>1679</v>
      </c>
      <c r="G272" s="8" t="s">
        <v>193</v>
      </c>
      <c r="H272" s="8" t="s">
        <v>1471</v>
      </c>
      <c r="I272" s="12" t="n">
        <v>0</v>
      </c>
      <c r="J272" s="12" t="n">
        <v>0</v>
      </c>
      <c r="K272" s="8" t="s">
        <v>1472</v>
      </c>
      <c r="L272" s="8" t="s">
        <v>1473</v>
      </c>
      <c r="M272" s="12"/>
      <c r="N272" s="12"/>
      <c r="O272" s="12"/>
      <c r="P272" s="12"/>
      <c r="Q272" s="12"/>
      <c r="R272" s="12"/>
      <c r="S272" s="8" t="s">
        <v>1680</v>
      </c>
      <c r="T272" s="8" t="s">
        <v>1681</v>
      </c>
      <c r="U272" s="8"/>
      <c r="V272" s="8" t="s">
        <v>1475</v>
      </c>
      <c r="W272" s="8" t="s">
        <v>1476</v>
      </c>
      <c r="X272" s="8"/>
      <c r="Y272" s="8"/>
      <c r="Z272" s="7" t="s">
        <v>86</v>
      </c>
      <c r="AA272" s="8" t="s">
        <v>87</v>
      </c>
      <c r="AB272" s="9" t="n">
        <v>196</v>
      </c>
      <c r="AC272" s="8" t="s">
        <v>1682</v>
      </c>
    </row>
    <row r="273" customFormat="false" ht="61.5" hidden="false" customHeight="true" outlineLevel="0" collapsed="false">
      <c r="A273" s="12" t="s">
        <v>1683</v>
      </c>
      <c r="B273" s="8" t="s">
        <v>188</v>
      </c>
      <c r="C273" s="8" t="s">
        <v>645</v>
      </c>
      <c r="D273" s="8" t="s">
        <v>683</v>
      </c>
      <c r="E273" s="8" t="s">
        <v>1684</v>
      </c>
      <c r="F273" s="8" t="s">
        <v>1685</v>
      </c>
      <c r="G273" s="8" t="s">
        <v>193</v>
      </c>
      <c r="H273" s="8" t="s">
        <v>1471</v>
      </c>
      <c r="I273" s="12" t="n">
        <v>0</v>
      </c>
      <c r="J273" s="12" t="n">
        <v>0</v>
      </c>
      <c r="K273" s="8" t="s">
        <v>1472</v>
      </c>
      <c r="L273" s="8" t="s">
        <v>1473</v>
      </c>
      <c r="M273" s="12"/>
      <c r="N273" s="12"/>
      <c r="O273" s="12"/>
      <c r="P273" s="12"/>
      <c r="Q273" s="12"/>
      <c r="R273" s="12"/>
      <c r="S273" s="8" t="s">
        <v>1686</v>
      </c>
      <c r="T273" s="8"/>
      <c r="U273" s="8"/>
      <c r="V273" s="8" t="s">
        <v>1475</v>
      </c>
      <c r="W273" s="8" t="s">
        <v>1476</v>
      </c>
      <c r="X273" s="8" t="s">
        <v>1687</v>
      </c>
      <c r="Y273" s="8"/>
      <c r="Z273" s="7" t="s">
        <v>86</v>
      </c>
      <c r="AA273" s="8" t="s">
        <v>87</v>
      </c>
      <c r="AB273" s="9" t="n">
        <v>197</v>
      </c>
      <c r="AC273" s="8" t="s">
        <v>691</v>
      </c>
    </row>
    <row r="274" customFormat="false" ht="61.5" hidden="false" customHeight="true" outlineLevel="0" collapsed="false">
      <c r="A274" s="12" t="s">
        <v>1688</v>
      </c>
      <c r="B274" s="8" t="s">
        <v>188</v>
      </c>
      <c r="C274" s="8" t="s">
        <v>645</v>
      </c>
      <c r="D274" s="8" t="s">
        <v>646</v>
      </c>
      <c r="E274" s="8" t="s">
        <v>1689</v>
      </c>
      <c r="F274" s="8" t="s">
        <v>1690</v>
      </c>
      <c r="G274" s="8" t="s">
        <v>193</v>
      </c>
      <c r="H274" s="8" t="s">
        <v>1471</v>
      </c>
      <c r="I274" s="12" t="n">
        <v>0</v>
      </c>
      <c r="J274" s="12" t="n">
        <v>0</v>
      </c>
      <c r="K274" s="8" t="s">
        <v>1472</v>
      </c>
      <c r="L274" s="8" t="s">
        <v>1473</v>
      </c>
      <c r="M274" s="12"/>
      <c r="N274" s="12"/>
      <c r="O274" s="12"/>
      <c r="P274" s="12"/>
      <c r="Q274" s="12"/>
      <c r="R274" s="12"/>
      <c r="S274" s="8" t="s">
        <v>1691</v>
      </c>
      <c r="T274" s="8"/>
      <c r="U274" s="8"/>
      <c r="V274" s="8" t="s">
        <v>1475</v>
      </c>
      <c r="W274" s="8" t="s">
        <v>1476</v>
      </c>
      <c r="X274" s="8" t="s">
        <v>1692</v>
      </c>
      <c r="Y274" s="8"/>
      <c r="Z274" s="7" t="s">
        <v>86</v>
      </c>
      <c r="AA274" s="8" t="s">
        <v>87</v>
      </c>
      <c r="AB274" s="9" t="n">
        <v>198</v>
      </c>
      <c r="AC274" s="8" t="s">
        <v>644</v>
      </c>
    </row>
    <row r="275" customFormat="false" ht="61.5" hidden="false" customHeight="true" outlineLevel="0" collapsed="false">
      <c r="A275" s="12" t="s">
        <v>1693</v>
      </c>
      <c r="B275" s="8" t="s">
        <v>188</v>
      </c>
      <c r="C275" s="8" t="s">
        <v>645</v>
      </c>
      <c r="D275" s="8" t="s">
        <v>678</v>
      </c>
      <c r="E275" s="8" t="s">
        <v>1694</v>
      </c>
      <c r="F275" s="8" t="s">
        <v>1695</v>
      </c>
      <c r="G275" s="8" t="s">
        <v>193</v>
      </c>
      <c r="H275" s="8" t="s">
        <v>1471</v>
      </c>
      <c r="I275" s="12" t="n">
        <v>0</v>
      </c>
      <c r="J275" s="12" t="n">
        <v>0</v>
      </c>
      <c r="K275" s="8" t="s">
        <v>1472</v>
      </c>
      <c r="L275" s="8" t="s">
        <v>1473</v>
      </c>
      <c r="M275" s="12"/>
      <c r="N275" s="12"/>
      <c r="O275" s="12"/>
      <c r="P275" s="12"/>
      <c r="Q275" s="12"/>
      <c r="R275" s="12"/>
      <c r="S275" s="8" t="s">
        <v>1696</v>
      </c>
      <c r="T275" s="8"/>
      <c r="U275" s="8"/>
      <c r="V275" s="8" t="s">
        <v>1475</v>
      </c>
      <c r="W275" s="8" t="s">
        <v>1476</v>
      </c>
      <c r="X275" s="8" t="s">
        <v>1697</v>
      </c>
      <c r="Y275" s="8"/>
      <c r="Z275" s="7" t="s">
        <v>89</v>
      </c>
      <c r="AA275" s="8" t="s">
        <v>90</v>
      </c>
      <c r="AB275" s="9" t="n">
        <v>206</v>
      </c>
      <c r="AC275" s="8" t="s">
        <v>1698</v>
      </c>
    </row>
    <row r="276" customFormat="false" ht="61.5" hidden="false" customHeight="true" outlineLevel="0" collapsed="false">
      <c r="A276" s="12" t="s">
        <v>1699</v>
      </c>
      <c r="B276" s="8" t="s">
        <v>188</v>
      </c>
      <c r="C276" s="8" t="s">
        <v>645</v>
      </c>
      <c r="D276" s="8" t="s">
        <v>678</v>
      </c>
      <c r="E276" s="8" t="s">
        <v>1700</v>
      </c>
      <c r="F276" s="8" t="s">
        <v>1701</v>
      </c>
      <c r="G276" s="8" t="s">
        <v>193</v>
      </c>
      <c r="H276" s="8" t="s">
        <v>1471</v>
      </c>
      <c r="I276" s="12" t="n">
        <v>0</v>
      </c>
      <c r="J276" s="12" t="n">
        <v>0</v>
      </c>
      <c r="K276" s="8" t="s">
        <v>1472</v>
      </c>
      <c r="L276" s="8" t="s">
        <v>1473</v>
      </c>
      <c r="M276" s="12"/>
      <c r="N276" s="12"/>
      <c r="O276" s="12"/>
      <c r="P276" s="12"/>
      <c r="Q276" s="12"/>
      <c r="R276" s="12"/>
      <c r="S276" s="8" t="s">
        <v>1702</v>
      </c>
      <c r="T276" s="8"/>
      <c r="U276" s="8"/>
      <c r="V276" s="8" t="s">
        <v>1475</v>
      </c>
      <c r="W276" s="8" t="s">
        <v>1476</v>
      </c>
      <c r="X276" s="8"/>
      <c r="Y276" s="8"/>
      <c r="Z276" s="7" t="s">
        <v>89</v>
      </c>
      <c r="AA276" s="8" t="s">
        <v>90</v>
      </c>
      <c r="AB276" s="9" t="n">
        <v>210</v>
      </c>
      <c r="AC276" s="8" t="s">
        <v>1703</v>
      </c>
    </row>
    <row r="277" customFormat="false" ht="61.5" hidden="false" customHeight="true" outlineLevel="0" collapsed="false">
      <c r="A277" s="12" t="s">
        <v>1704</v>
      </c>
      <c r="B277" s="8" t="s">
        <v>188</v>
      </c>
      <c r="C277" s="8" t="s">
        <v>645</v>
      </c>
      <c r="D277" s="8" t="s">
        <v>683</v>
      </c>
      <c r="E277" s="8" t="s">
        <v>1705</v>
      </c>
      <c r="F277" s="8" t="s">
        <v>1706</v>
      </c>
      <c r="G277" s="8" t="s">
        <v>193</v>
      </c>
      <c r="H277" s="8" t="s">
        <v>1471</v>
      </c>
      <c r="I277" s="12" t="n">
        <v>0</v>
      </c>
      <c r="J277" s="12" t="n">
        <v>0</v>
      </c>
      <c r="K277" s="8" t="s">
        <v>1472</v>
      </c>
      <c r="L277" s="8" t="s">
        <v>1473</v>
      </c>
      <c r="M277" s="12"/>
      <c r="N277" s="12"/>
      <c r="O277" s="12"/>
      <c r="P277" s="12"/>
      <c r="Q277" s="12"/>
      <c r="R277" s="12"/>
      <c r="S277" s="8" t="s">
        <v>1707</v>
      </c>
      <c r="T277" s="8" t="s">
        <v>1708</v>
      </c>
      <c r="U277" s="8"/>
      <c r="V277" s="8" t="s">
        <v>1475</v>
      </c>
      <c r="W277" s="8" t="s">
        <v>1476</v>
      </c>
      <c r="X277" s="8"/>
      <c r="Y277" s="8"/>
      <c r="Z277" s="7" t="s">
        <v>93</v>
      </c>
      <c r="AA277" s="8" t="s">
        <v>94</v>
      </c>
      <c r="AB277" s="9" t="n">
        <v>216</v>
      </c>
      <c r="AC277" s="8" t="s">
        <v>644</v>
      </c>
    </row>
    <row r="278" customFormat="false" ht="61.5" hidden="false" customHeight="true" outlineLevel="0" collapsed="false">
      <c r="A278" s="12" t="s">
        <v>1709</v>
      </c>
      <c r="B278" s="8" t="s">
        <v>188</v>
      </c>
      <c r="C278" s="8" t="s">
        <v>645</v>
      </c>
      <c r="D278" s="8" t="s">
        <v>699</v>
      </c>
      <c r="E278" s="8" t="s">
        <v>1710</v>
      </c>
      <c r="F278" s="8" t="s">
        <v>1711</v>
      </c>
      <c r="G278" s="8" t="s">
        <v>193</v>
      </c>
      <c r="H278" s="8" t="s">
        <v>1471</v>
      </c>
      <c r="I278" s="12" t="n">
        <v>0</v>
      </c>
      <c r="J278" s="12" t="n">
        <v>0</v>
      </c>
      <c r="K278" s="8" t="s">
        <v>1472</v>
      </c>
      <c r="L278" s="8" t="s">
        <v>1473</v>
      </c>
      <c r="M278" s="12"/>
      <c r="N278" s="12"/>
      <c r="O278" s="12"/>
      <c r="P278" s="12"/>
      <c r="Q278" s="12"/>
      <c r="R278" s="12"/>
      <c r="S278" s="8" t="s">
        <v>1712</v>
      </c>
      <c r="T278" s="8"/>
      <c r="U278" s="8"/>
      <c r="V278" s="8" t="s">
        <v>1475</v>
      </c>
      <c r="W278" s="8" t="s">
        <v>1476</v>
      </c>
      <c r="X278" s="8"/>
      <c r="Y278" s="8"/>
      <c r="Z278" s="7" t="s">
        <v>93</v>
      </c>
      <c r="AA278" s="8" t="s">
        <v>94</v>
      </c>
      <c r="AB278" s="9" t="n">
        <v>212</v>
      </c>
      <c r="AC278" s="8" t="s">
        <v>704</v>
      </c>
    </row>
    <row r="279" customFormat="false" ht="61.5" hidden="false" customHeight="true" outlineLevel="0" collapsed="false">
      <c r="A279" s="12" t="s">
        <v>1713</v>
      </c>
      <c r="B279" s="8" t="s">
        <v>188</v>
      </c>
      <c r="C279" s="8" t="s">
        <v>645</v>
      </c>
      <c r="D279" s="8" t="s">
        <v>699</v>
      </c>
      <c r="E279" s="8" t="s">
        <v>1714</v>
      </c>
      <c r="F279" s="8" t="s">
        <v>1715</v>
      </c>
      <c r="G279" s="8" t="s">
        <v>193</v>
      </c>
      <c r="H279" s="8" t="s">
        <v>1471</v>
      </c>
      <c r="I279" s="12" t="n">
        <v>0</v>
      </c>
      <c r="J279" s="12" t="n">
        <v>0</v>
      </c>
      <c r="K279" s="8" t="s">
        <v>1472</v>
      </c>
      <c r="L279" s="8" t="s">
        <v>1473</v>
      </c>
      <c r="M279" s="12"/>
      <c r="N279" s="12"/>
      <c r="O279" s="12"/>
      <c r="P279" s="12"/>
      <c r="Q279" s="12"/>
      <c r="R279" s="12"/>
      <c r="S279" s="8" t="s">
        <v>1716</v>
      </c>
      <c r="T279" s="8"/>
      <c r="U279" s="8"/>
      <c r="V279" s="8" t="s">
        <v>1475</v>
      </c>
      <c r="W279" s="8" t="s">
        <v>1476</v>
      </c>
      <c r="X279" s="8"/>
      <c r="Y279" s="8"/>
      <c r="Z279" s="7" t="s">
        <v>93</v>
      </c>
      <c r="AA279" s="8" t="s">
        <v>94</v>
      </c>
      <c r="AB279" s="9" t="n">
        <v>213</v>
      </c>
      <c r="AC279" s="8" t="s">
        <v>667</v>
      </c>
    </row>
    <row r="280" customFormat="false" ht="61.5" hidden="false" customHeight="true" outlineLevel="0" collapsed="false">
      <c r="A280" s="12" t="s">
        <v>1717</v>
      </c>
      <c r="B280" s="8" t="s">
        <v>188</v>
      </c>
      <c r="C280" s="8" t="s">
        <v>645</v>
      </c>
      <c r="D280" s="8" t="s">
        <v>658</v>
      </c>
      <c r="E280" s="8" t="s">
        <v>1718</v>
      </c>
      <c r="F280" s="8" t="s">
        <v>1719</v>
      </c>
      <c r="G280" s="8" t="s">
        <v>193</v>
      </c>
      <c r="H280" s="8" t="s">
        <v>1471</v>
      </c>
      <c r="I280" s="12" t="n">
        <v>0</v>
      </c>
      <c r="J280" s="12" t="n">
        <v>0</v>
      </c>
      <c r="K280" s="8" t="s">
        <v>1472</v>
      </c>
      <c r="L280" s="8" t="s">
        <v>1473</v>
      </c>
      <c r="M280" s="12"/>
      <c r="N280" s="12"/>
      <c r="O280" s="12"/>
      <c r="P280" s="12"/>
      <c r="Q280" s="12"/>
      <c r="R280" s="12"/>
      <c r="S280" s="8" t="s">
        <v>1720</v>
      </c>
      <c r="T280" s="8"/>
      <c r="U280" s="8"/>
      <c r="V280" s="8" t="s">
        <v>1475</v>
      </c>
      <c r="W280" s="8" t="s">
        <v>1476</v>
      </c>
      <c r="X280" s="8" t="s">
        <v>1721</v>
      </c>
      <c r="Y280" s="8"/>
      <c r="Z280" s="7" t="s">
        <v>89</v>
      </c>
      <c r="AA280" s="8" t="s">
        <v>90</v>
      </c>
      <c r="AB280" s="9" t="n">
        <v>211</v>
      </c>
      <c r="AC280" s="8" t="s">
        <v>1722</v>
      </c>
    </row>
    <row r="281" customFormat="false" ht="61.5" hidden="false" customHeight="true" outlineLevel="0" collapsed="false">
      <c r="A281" s="12" t="s">
        <v>1723</v>
      </c>
      <c r="B281" s="8" t="s">
        <v>188</v>
      </c>
      <c r="C281" s="8" t="s">
        <v>718</v>
      </c>
      <c r="D281" s="8" t="s">
        <v>719</v>
      </c>
      <c r="E281" s="8" t="s">
        <v>1724</v>
      </c>
      <c r="F281" s="8" t="s">
        <v>1725</v>
      </c>
      <c r="G281" s="8" t="s">
        <v>193</v>
      </c>
      <c r="H281" s="8" t="s">
        <v>1471</v>
      </c>
      <c r="I281" s="12" t="n">
        <v>0</v>
      </c>
      <c r="J281" s="12" t="n">
        <v>0</v>
      </c>
      <c r="K281" s="8" t="s">
        <v>1472</v>
      </c>
      <c r="L281" s="8" t="s">
        <v>1473</v>
      </c>
      <c r="M281" s="12"/>
      <c r="N281" s="12"/>
      <c r="O281" s="12"/>
      <c r="P281" s="12"/>
      <c r="Q281" s="12"/>
      <c r="R281" s="12"/>
      <c r="S281" s="8" t="s">
        <v>1726</v>
      </c>
      <c r="T281" s="8"/>
      <c r="U281" s="8"/>
      <c r="V281" s="8" t="s">
        <v>1475</v>
      </c>
      <c r="W281" s="8" t="s">
        <v>1476</v>
      </c>
      <c r="X281" s="8" t="s">
        <v>1727</v>
      </c>
      <c r="Y281" s="8"/>
      <c r="Z281" s="7" t="s">
        <v>96</v>
      </c>
      <c r="AA281" s="8" t="s">
        <v>97</v>
      </c>
      <c r="AB281" s="9" t="n">
        <v>222</v>
      </c>
      <c r="AC281" s="8" t="s">
        <v>1728</v>
      </c>
    </row>
    <row r="282" customFormat="false" ht="61.5" hidden="false" customHeight="true" outlineLevel="0" collapsed="false">
      <c r="A282" s="12" t="s">
        <v>1729</v>
      </c>
      <c r="B282" s="8" t="s">
        <v>188</v>
      </c>
      <c r="C282" s="8" t="s">
        <v>718</v>
      </c>
      <c r="D282" s="8" t="s">
        <v>719</v>
      </c>
      <c r="E282" s="8" t="s">
        <v>1730</v>
      </c>
      <c r="F282" s="8" t="s">
        <v>1731</v>
      </c>
      <c r="G282" s="8" t="s">
        <v>193</v>
      </c>
      <c r="H282" s="8" t="s">
        <v>1471</v>
      </c>
      <c r="I282" s="12" t="n">
        <v>0</v>
      </c>
      <c r="J282" s="12" t="n">
        <v>0</v>
      </c>
      <c r="K282" s="8" t="s">
        <v>1472</v>
      </c>
      <c r="L282" s="8" t="s">
        <v>1473</v>
      </c>
      <c r="M282" s="12"/>
      <c r="N282" s="12"/>
      <c r="O282" s="12"/>
      <c r="P282" s="12"/>
      <c r="Q282" s="12"/>
      <c r="R282" s="12"/>
      <c r="S282" s="8" t="s">
        <v>1732</v>
      </c>
      <c r="T282" s="8"/>
      <c r="U282" s="8"/>
      <c r="V282" s="8" t="s">
        <v>1475</v>
      </c>
      <c r="W282" s="8" t="s">
        <v>1476</v>
      </c>
      <c r="X282" s="8" t="s">
        <v>1733</v>
      </c>
      <c r="Y282" s="8"/>
      <c r="Z282" s="7" t="s">
        <v>96</v>
      </c>
      <c r="AA282" s="8" t="s">
        <v>97</v>
      </c>
      <c r="AB282" s="9" t="n">
        <v>223</v>
      </c>
      <c r="AC282" s="8" t="s">
        <v>1734</v>
      </c>
    </row>
    <row r="283" customFormat="false" ht="61.5" hidden="false" customHeight="true" outlineLevel="0" collapsed="false">
      <c r="A283" s="12" t="s">
        <v>1735</v>
      </c>
      <c r="B283" s="8" t="s">
        <v>188</v>
      </c>
      <c r="C283" s="8" t="s">
        <v>718</v>
      </c>
      <c r="D283" s="8" t="s">
        <v>719</v>
      </c>
      <c r="E283" s="8" t="s">
        <v>1736</v>
      </c>
      <c r="F283" s="8" t="s">
        <v>1737</v>
      </c>
      <c r="G283" s="8" t="s">
        <v>193</v>
      </c>
      <c r="H283" s="8" t="s">
        <v>1471</v>
      </c>
      <c r="I283" s="12" t="n">
        <v>0</v>
      </c>
      <c r="J283" s="12" t="n">
        <v>0</v>
      </c>
      <c r="K283" s="8" t="s">
        <v>1472</v>
      </c>
      <c r="L283" s="8" t="s">
        <v>1473</v>
      </c>
      <c r="M283" s="12"/>
      <c r="N283" s="12"/>
      <c r="O283" s="12"/>
      <c r="P283" s="12"/>
      <c r="Q283" s="12"/>
      <c r="R283" s="12"/>
      <c r="S283" s="8" t="s">
        <v>1738</v>
      </c>
      <c r="T283" s="8"/>
      <c r="U283" s="8"/>
      <c r="V283" s="8" t="s">
        <v>1475</v>
      </c>
      <c r="W283" s="8" t="s">
        <v>1476</v>
      </c>
      <c r="X283" s="8"/>
      <c r="Y283" s="8"/>
      <c r="Z283" s="7" t="s">
        <v>99</v>
      </c>
      <c r="AA283" s="8" t="s">
        <v>100</v>
      </c>
      <c r="AB283" s="9" t="n">
        <v>224</v>
      </c>
      <c r="AC283" s="8" t="s">
        <v>1739</v>
      </c>
    </row>
    <row r="284" customFormat="false" ht="61.5" hidden="false" customHeight="true" outlineLevel="0" collapsed="false">
      <c r="A284" s="12" t="s">
        <v>1740</v>
      </c>
      <c r="B284" s="8" t="s">
        <v>188</v>
      </c>
      <c r="C284" s="8" t="s">
        <v>718</v>
      </c>
      <c r="D284" s="8" t="s">
        <v>719</v>
      </c>
      <c r="E284" s="8" t="s">
        <v>1741</v>
      </c>
      <c r="F284" s="8" t="s">
        <v>1742</v>
      </c>
      <c r="G284" s="8" t="s">
        <v>193</v>
      </c>
      <c r="H284" s="8" t="s">
        <v>1471</v>
      </c>
      <c r="I284" s="12" t="n">
        <v>0</v>
      </c>
      <c r="J284" s="12" t="n">
        <v>0</v>
      </c>
      <c r="K284" s="8" t="s">
        <v>1472</v>
      </c>
      <c r="L284" s="8" t="s">
        <v>1473</v>
      </c>
      <c r="M284" s="12"/>
      <c r="N284" s="12"/>
      <c r="O284" s="12"/>
      <c r="P284" s="12"/>
      <c r="Q284" s="12"/>
      <c r="R284" s="12"/>
      <c r="S284" s="8" t="s">
        <v>1743</v>
      </c>
      <c r="T284" s="8"/>
      <c r="U284" s="8"/>
      <c r="V284" s="8" t="s">
        <v>1475</v>
      </c>
      <c r="W284" s="8" t="s">
        <v>1476</v>
      </c>
      <c r="X284" s="8"/>
      <c r="Y284" s="8"/>
      <c r="Z284" s="7" t="s">
        <v>99</v>
      </c>
      <c r="AA284" s="8" t="s">
        <v>100</v>
      </c>
      <c r="AB284" s="9" t="n">
        <v>228</v>
      </c>
      <c r="AC284" s="8" t="s">
        <v>1735</v>
      </c>
    </row>
    <row r="285" customFormat="false" ht="61.5" hidden="false" customHeight="true" outlineLevel="0" collapsed="false">
      <c r="A285" s="12" t="s">
        <v>1744</v>
      </c>
      <c r="B285" s="8" t="s">
        <v>188</v>
      </c>
      <c r="C285" s="8" t="s">
        <v>718</v>
      </c>
      <c r="D285" s="8" t="s">
        <v>719</v>
      </c>
      <c r="E285" s="8" t="s">
        <v>1745</v>
      </c>
      <c r="F285" s="8" t="s">
        <v>1746</v>
      </c>
      <c r="G285" s="8" t="s">
        <v>193</v>
      </c>
      <c r="H285" s="8" t="s">
        <v>1471</v>
      </c>
      <c r="I285" s="12" t="n">
        <v>0</v>
      </c>
      <c r="J285" s="12" t="n">
        <v>0</v>
      </c>
      <c r="K285" s="8" t="s">
        <v>1472</v>
      </c>
      <c r="L285" s="8" t="s">
        <v>1473</v>
      </c>
      <c r="M285" s="12"/>
      <c r="N285" s="12"/>
      <c r="O285" s="12"/>
      <c r="P285" s="12"/>
      <c r="Q285" s="12"/>
      <c r="R285" s="12"/>
      <c r="S285" s="8" t="s">
        <v>1747</v>
      </c>
      <c r="T285" s="8"/>
      <c r="U285" s="8"/>
      <c r="V285" s="8" t="s">
        <v>1475</v>
      </c>
      <c r="W285" s="8" t="s">
        <v>1476</v>
      </c>
      <c r="X285" s="8" t="s">
        <v>1748</v>
      </c>
      <c r="Y285" s="8"/>
      <c r="Z285" s="7" t="s">
        <v>99</v>
      </c>
      <c r="AA285" s="8" t="s">
        <v>100</v>
      </c>
      <c r="AB285" s="9" t="n">
        <v>225</v>
      </c>
      <c r="AC285" s="8" t="s">
        <v>1749</v>
      </c>
    </row>
    <row r="286" customFormat="false" ht="61.5" hidden="false" customHeight="true" outlineLevel="0" collapsed="false">
      <c r="A286" s="12" t="s">
        <v>1750</v>
      </c>
      <c r="B286" s="8" t="s">
        <v>188</v>
      </c>
      <c r="C286" s="8" t="s">
        <v>718</v>
      </c>
      <c r="D286" s="8" t="s">
        <v>719</v>
      </c>
      <c r="E286" s="8" t="s">
        <v>1751</v>
      </c>
      <c r="F286" s="8" t="s">
        <v>1752</v>
      </c>
      <c r="G286" s="8" t="s">
        <v>370</v>
      </c>
      <c r="H286" s="8" t="s">
        <v>1471</v>
      </c>
      <c r="I286" s="12" t="n">
        <v>0</v>
      </c>
      <c r="J286" s="12" t="n">
        <v>0</v>
      </c>
      <c r="K286" s="8" t="s">
        <v>1472</v>
      </c>
      <c r="L286" s="8" t="s">
        <v>1473</v>
      </c>
      <c r="M286" s="12"/>
      <c r="N286" s="12"/>
      <c r="O286" s="12"/>
      <c r="P286" s="12"/>
      <c r="Q286" s="12"/>
      <c r="R286" s="12"/>
      <c r="S286" s="8" t="s">
        <v>1743</v>
      </c>
      <c r="T286" s="8"/>
      <c r="U286" s="8"/>
      <c r="V286" s="8" t="s">
        <v>1475</v>
      </c>
      <c r="W286" s="8" t="s">
        <v>1476</v>
      </c>
      <c r="X286" s="8"/>
      <c r="Y286" s="8"/>
      <c r="Z286" s="7" t="s">
        <v>99</v>
      </c>
      <c r="AA286" s="8" t="s">
        <v>100</v>
      </c>
      <c r="AB286" s="9" t="n">
        <v>226</v>
      </c>
      <c r="AC286" s="8" t="s">
        <v>717</v>
      </c>
    </row>
    <row r="287" customFormat="false" ht="61.5" hidden="false" customHeight="true" outlineLevel="0" collapsed="false">
      <c r="A287" s="12" t="s">
        <v>1753</v>
      </c>
      <c r="B287" s="8" t="s">
        <v>188</v>
      </c>
      <c r="C287" s="8" t="s">
        <v>755</v>
      </c>
      <c r="D287" s="8" t="s">
        <v>762</v>
      </c>
      <c r="E287" s="8" t="s">
        <v>1754</v>
      </c>
      <c r="F287" s="8" t="s">
        <v>1755</v>
      </c>
      <c r="G287" s="8" t="s">
        <v>193</v>
      </c>
      <c r="H287" s="8" t="s">
        <v>1471</v>
      </c>
      <c r="I287" s="12" t="n">
        <v>0</v>
      </c>
      <c r="J287" s="12" t="n">
        <v>0</v>
      </c>
      <c r="K287" s="8" t="s">
        <v>1472</v>
      </c>
      <c r="L287" s="8" t="s">
        <v>1473</v>
      </c>
      <c r="M287" s="12"/>
      <c r="N287" s="12"/>
      <c r="O287" s="12"/>
      <c r="P287" s="12"/>
      <c r="Q287" s="12"/>
      <c r="R287" s="12"/>
      <c r="S287" s="8" t="s">
        <v>1756</v>
      </c>
      <c r="T287" s="8"/>
      <c r="U287" s="8"/>
      <c r="V287" s="8" t="s">
        <v>1475</v>
      </c>
      <c r="W287" s="8" t="s">
        <v>1476</v>
      </c>
      <c r="X287" s="8" t="s">
        <v>1757</v>
      </c>
      <c r="Y287" s="8"/>
      <c r="Z287" s="7" t="s">
        <v>70</v>
      </c>
      <c r="AA287" s="8" t="s">
        <v>71</v>
      </c>
      <c r="AB287" s="9" t="n">
        <v>162</v>
      </c>
      <c r="AC287" s="8" t="s">
        <v>807</v>
      </c>
    </row>
    <row r="288" customFormat="false" ht="61.5" hidden="false" customHeight="true" outlineLevel="0" collapsed="false">
      <c r="A288" s="12" t="s">
        <v>1758</v>
      </c>
      <c r="B288" s="8" t="s">
        <v>188</v>
      </c>
      <c r="C288" s="8" t="s">
        <v>755</v>
      </c>
      <c r="D288" s="8" t="s">
        <v>762</v>
      </c>
      <c r="E288" s="8" t="s">
        <v>1759</v>
      </c>
      <c r="F288" s="8" t="s">
        <v>1760</v>
      </c>
      <c r="G288" s="8" t="s">
        <v>193</v>
      </c>
      <c r="H288" s="8" t="s">
        <v>1471</v>
      </c>
      <c r="I288" s="12" t="n">
        <v>0</v>
      </c>
      <c r="J288" s="12" t="n">
        <v>0</v>
      </c>
      <c r="K288" s="8" t="s">
        <v>1472</v>
      </c>
      <c r="L288" s="8" t="s">
        <v>1473</v>
      </c>
      <c r="M288" s="12"/>
      <c r="N288" s="12"/>
      <c r="O288" s="12"/>
      <c r="P288" s="12"/>
      <c r="Q288" s="12"/>
      <c r="R288" s="12"/>
      <c r="S288" s="8" t="s">
        <v>1761</v>
      </c>
      <c r="T288" s="8"/>
      <c r="U288" s="8"/>
      <c r="V288" s="8" t="s">
        <v>1475</v>
      </c>
      <c r="W288" s="8" t="s">
        <v>1476</v>
      </c>
      <c r="X288" s="8" t="s">
        <v>1762</v>
      </c>
      <c r="Y288" s="8"/>
      <c r="Z288" s="7" t="s">
        <v>70</v>
      </c>
      <c r="AA288" s="8" t="s">
        <v>71</v>
      </c>
      <c r="AB288" s="9" t="n">
        <v>155</v>
      </c>
      <c r="AC288" s="8" t="s">
        <v>761</v>
      </c>
    </row>
    <row r="289" customFormat="false" ht="61.5" hidden="false" customHeight="true" outlineLevel="0" collapsed="false">
      <c r="A289" s="12" t="s">
        <v>1763</v>
      </c>
      <c r="B289" s="8" t="s">
        <v>188</v>
      </c>
      <c r="C289" s="8" t="s">
        <v>755</v>
      </c>
      <c r="D289" s="8" t="s">
        <v>762</v>
      </c>
      <c r="E289" s="8" t="s">
        <v>1764</v>
      </c>
      <c r="F289" s="8" t="s">
        <v>1765</v>
      </c>
      <c r="G289" s="8" t="s">
        <v>193</v>
      </c>
      <c r="H289" s="8" t="s">
        <v>1471</v>
      </c>
      <c r="I289" s="12" t="n">
        <v>0</v>
      </c>
      <c r="J289" s="12" t="n">
        <v>0</v>
      </c>
      <c r="K289" s="8" t="s">
        <v>1472</v>
      </c>
      <c r="L289" s="8" t="s">
        <v>1473</v>
      </c>
      <c r="M289" s="12"/>
      <c r="N289" s="12"/>
      <c r="O289" s="12"/>
      <c r="P289" s="12"/>
      <c r="Q289" s="12"/>
      <c r="R289" s="12"/>
      <c r="S289" s="8" t="s">
        <v>1766</v>
      </c>
      <c r="T289" s="8"/>
      <c r="U289" s="8"/>
      <c r="V289" s="8" t="s">
        <v>1475</v>
      </c>
      <c r="W289" s="8" t="s">
        <v>1476</v>
      </c>
      <c r="X289" s="8" t="s">
        <v>1767</v>
      </c>
      <c r="Y289" s="8"/>
      <c r="Z289" s="7" t="s">
        <v>99</v>
      </c>
      <c r="AA289" s="8" t="s">
        <v>100</v>
      </c>
      <c r="AB289" s="9" t="n">
        <v>229</v>
      </c>
      <c r="AC289" s="8" t="s">
        <v>1768</v>
      </c>
    </row>
    <row r="290" customFormat="false" ht="61.5" hidden="false" customHeight="true" outlineLevel="0" collapsed="false">
      <c r="A290" s="12" t="s">
        <v>1769</v>
      </c>
      <c r="B290" s="8" t="s">
        <v>188</v>
      </c>
      <c r="C290" s="8" t="s">
        <v>755</v>
      </c>
      <c r="D290" s="8" t="s">
        <v>756</v>
      </c>
      <c r="E290" s="8" t="s">
        <v>1770</v>
      </c>
      <c r="F290" s="8" t="s">
        <v>1771</v>
      </c>
      <c r="G290" s="8" t="s">
        <v>193</v>
      </c>
      <c r="H290" s="8" t="s">
        <v>1471</v>
      </c>
      <c r="I290" s="12" t="n">
        <v>0</v>
      </c>
      <c r="J290" s="12" t="n">
        <v>0</v>
      </c>
      <c r="K290" s="8" t="s">
        <v>1472</v>
      </c>
      <c r="L290" s="8" t="s">
        <v>1473</v>
      </c>
      <c r="M290" s="12"/>
      <c r="N290" s="12"/>
      <c r="O290" s="12"/>
      <c r="P290" s="12"/>
      <c r="Q290" s="12"/>
      <c r="R290" s="12"/>
      <c r="S290" s="8" t="s">
        <v>1772</v>
      </c>
      <c r="T290" s="8"/>
      <c r="U290" s="8"/>
      <c r="V290" s="8" t="s">
        <v>1475</v>
      </c>
      <c r="W290" s="8" t="s">
        <v>1476</v>
      </c>
      <c r="X290" s="8"/>
      <c r="Y290" s="8"/>
      <c r="Z290" s="7" t="s">
        <v>73</v>
      </c>
      <c r="AA290" s="8" t="s">
        <v>74</v>
      </c>
      <c r="AB290" s="9" t="n">
        <v>166</v>
      </c>
      <c r="AC290" s="8" t="s">
        <v>1773</v>
      </c>
    </row>
    <row r="291" customFormat="false" ht="61.5" hidden="false" customHeight="true" outlineLevel="0" collapsed="false">
      <c r="A291" s="12" t="s">
        <v>1774</v>
      </c>
      <c r="B291" s="8" t="s">
        <v>188</v>
      </c>
      <c r="C291" s="8" t="s">
        <v>755</v>
      </c>
      <c r="D291" s="8" t="s">
        <v>1775</v>
      </c>
      <c r="E291" s="8" t="s">
        <v>1776</v>
      </c>
      <c r="F291" s="8" t="s">
        <v>1777</v>
      </c>
      <c r="G291" s="8" t="s">
        <v>193</v>
      </c>
      <c r="H291" s="8" t="s">
        <v>1471</v>
      </c>
      <c r="I291" s="12" t="n">
        <v>0</v>
      </c>
      <c r="J291" s="12" t="n">
        <v>0</v>
      </c>
      <c r="K291" s="8" t="s">
        <v>1472</v>
      </c>
      <c r="L291" s="8" t="s">
        <v>1473</v>
      </c>
      <c r="M291" s="12"/>
      <c r="N291" s="12"/>
      <c r="O291" s="12"/>
      <c r="P291" s="12"/>
      <c r="Q291" s="12"/>
      <c r="R291" s="12"/>
      <c r="S291" s="8" t="s">
        <v>1778</v>
      </c>
      <c r="T291" s="8"/>
      <c r="U291" s="8"/>
      <c r="V291" s="8" t="s">
        <v>1475</v>
      </c>
      <c r="W291" s="8" t="s">
        <v>1476</v>
      </c>
      <c r="X291" s="8" t="s">
        <v>1779</v>
      </c>
      <c r="Y291" s="8"/>
      <c r="Z291" s="7" t="s">
        <v>73</v>
      </c>
      <c r="AA291" s="8" t="s">
        <v>74</v>
      </c>
      <c r="AB291" s="9" t="n">
        <v>168</v>
      </c>
      <c r="AC291" s="8" t="s">
        <v>1780</v>
      </c>
    </row>
    <row r="292" customFormat="false" ht="61.5" hidden="false" customHeight="true" outlineLevel="0" collapsed="false">
      <c r="A292" s="12" t="s">
        <v>1781</v>
      </c>
      <c r="B292" s="8" t="s">
        <v>188</v>
      </c>
      <c r="C292" s="8" t="s">
        <v>755</v>
      </c>
      <c r="D292" s="8" t="s">
        <v>1775</v>
      </c>
      <c r="E292" s="8" t="s">
        <v>1782</v>
      </c>
      <c r="F292" s="8" t="s">
        <v>1783</v>
      </c>
      <c r="G292" s="8" t="s">
        <v>193</v>
      </c>
      <c r="H292" s="8" t="s">
        <v>1471</v>
      </c>
      <c r="I292" s="12" t="n">
        <v>0</v>
      </c>
      <c r="J292" s="12" t="n">
        <v>0</v>
      </c>
      <c r="K292" s="8" t="s">
        <v>1472</v>
      </c>
      <c r="L292" s="8" t="s">
        <v>1473</v>
      </c>
      <c r="M292" s="12"/>
      <c r="N292" s="12"/>
      <c r="O292" s="12"/>
      <c r="P292" s="12"/>
      <c r="Q292" s="12"/>
      <c r="R292" s="12"/>
      <c r="S292" s="8" t="s">
        <v>1784</v>
      </c>
      <c r="T292" s="8"/>
      <c r="U292" s="8"/>
      <c r="V292" s="8" t="s">
        <v>1475</v>
      </c>
      <c r="W292" s="8" t="s">
        <v>1476</v>
      </c>
      <c r="X292" s="8"/>
      <c r="Y292" s="8"/>
      <c r="Z292" s="7" t="s">
        <v>73</v>
      </c>
      <c r="AA292" s="8" t="s">
        <v>74</v>
      </c>
      <c r="AB292" s="9" t="n">
        <v>170</v>
      </c>
      <c r="AC292" s="8" t="s">
        <v>1774</v>
      </c>
    </row>
    <row r="293" customFormat="false" ht="61.5" hidden="false" customHeight="true" outlineLevel="0" collapsed="false">
      <c r="A293" s="12" t="s">
        <v>1785</v>
      </c>
      <c r="B293" s="8" t="s">
        <v>188</v>
      </c>
      <c r="C293" s="8" t="s">
        <v>755</v>
      </c>
      <c r="D293" s="8" t="s">
        <v>777</v>
      </c>
      <c r="E293" s="8" t="s">
        <v>1786</v>
      </c>
      <c r="F293" s="8" t="s">
        <v>1787</v>
      </c>
      <c r="G293" s="8" t="s">
        <v>193</v>
      </c>
      <c r="H293" s="8" t="s">
        <v>1471</v>
      </c>
      <c r="I293" s="12" t="n">
        <v>0</v>
      </c>
      <c r="J293" s="12" t="n">
        <v>0</v>
      </c>
      <c r="K293" s="8" t="s">
        <v>1472</v>
      </c>
      <c r="L293" s="8" t="s">
        <v>1473</v>
      </c>
      <c r="M293" s="12"/>
      <c r="N293" s="12"/>
      <c r="O293" s="12"/>
      <c r="P293" s="12"/>
      <c r="Q293" s="12"/>
      <c r="R293" s="12"/>
      <c r="S293" s="8" t="s">
        <v>1788</v>
      </c>
      <c r="T293" s="8" t="s">
        <v>1789</v>
      </c>
      <c r="U293" s="8"/>
      <c r="V293" s="8" t="s">
        <v>1475</v>
      </c>
      <c r="W293" s="8" t="s">
        <v>1476</v>
      </c>
      <c r="X293" s="8" t="s">
        <v>1790</v>
      </c>
      <c r="Y293" s="8"/>
      <c r="Z293" s="7" t="s">
        <v>123</v>
      </c>
      <c r="AA293" s="8" t="s">
        <v>124</v>
      </c>
      <c r="AB293" s="9" t="n">
        <v>287</v>
      </c>
      <c r="AC293" s="8" t="s">
        <v>1791</v>
      </c>
    </row>
    <row r="294" customFormat="false" ht="61.5" hidden="false" customHeight="true" outlineLevel="0" collapsed="false">
      <c r="A294" s="12" t="s">
        <v>1792</v>
      </c>
      <c r="B294" s="8" t="s">
        <v>816</v>
      </c>
      <c r="C294" s="8" t="s">
        <v>817</v>
      </c>
      <c r="D294" s="8" t="s">
        <v>1793</v>
      </c>
      <c r="E294" s="8" t="s">
        <v>1794</v>
      </c>
      <c r="F294" s="8" t="s">
        <v>1795</v>
      </c>
      <c r="G294" s="8" t="s">
        <v>193</v>
      </c>
      <c r="H294" s="8" t="s">
        <v>1471</v>
      </c>
      <c r="I294" s="12" t="n">
        <v>0</v>
      </c>
      <c r="J294" s="12" t="n">
        <v>0</v>
      </c>
      <c r="K294" s="8" t="s">
        <v>1472</v>
      </c>
      <c r="L294" s="8" t="s">
        <v>1473</v>
      </c>
      <c r="M294" s="12"/>
      <c r="N294" s="12"/>
      <c r="O294" s="12"/>
      <c r="P294" s="12"/>
      <c r="Q294" s="12"/>
      <c r="R294" s="12"/>
      <c r="S294" s="8" t="s">
        <v>1796</v>
      </c>
      <c r="T294" s="8"/>
      <c r="U294" s="8"/>
      <c r="V294" s="8" t="s">
        <v>1475</v>
      </c>
      <c r="W294" s="8" t="s">
        <v>1476</v>
      </c>
      <c r="X294" s="8" t="s">
        <v>1797</v>
      </c>
      <c r="Y294" s="8"/>
      <c r="Z294" s="7" t="s">
        <v>108</v>
      </c>
      <c r="AA294" s="8" t="s">
        <v>109</v>
      </c>
      <c r="AB294" s="9" t="n">
        <v>252</v>
      </c>
      <c r="AC294" s="8" t="s">
        <v>1798</v>
      </c>
    </row>
    <row r="295" customFormat="false" ht="61.5" hidden="false" customHeight="true" outlineLevel="0" collapsed="false">
      <c r="A295" s="12" t="s">
        <v>1799</v>
      </c>
      <c r="B295" s="8" t="s">
        <v>816</v>
      </c>
      <c r="C295" s="8" t="s">
        <v>858</v>
      </c>
      <c r="D295" s="8" t="s">
        <v>859</v>
      </c>
      <c r="E295" s="8" t="s">
        <v>1800</v>
      </c>
      <c r="F295" s="8" t="s">
        <v>1801</v>
      </c>
      <c r="G295" s="8" t="s">
        <v>193</v>
      </c>
      <c r="H295" s="8" t="s">
        <v>1471</v>
      </c>
      <c r="I295" s="12" t="n">
        <v>0</v>
      </c>
      <c r="J295" s="12" t="n">
        <v>0</v>
      </c>
      <c r="K295" s="8" t="s">
        <v>1472</v>
      </c>
      <c r="L295" s="8" t="s">
        <v>1473</v>
      </c>
      <c r="M295" s="12"/>
      <c r="N295" s="12"/>
      <c r="O295" s="12"/>
      <c r="P295" s="12"/>
      <c r="Q295" s="12"/>
      <c r="R295" s="12"/>
      <c r="S295" s="8" t="s">
        <v>1802</v>
      </c>
      <c r="T295" s="8"/>
      <c r="U295" s="8"/>
      <c r="V295" s="8" t="s">
        <v>1475</v>
      </c>
      <c r="W295" s="8" t="s">
        <v>1476</v>
      </c>
      <c r="X295" s="8" t="s">
        <v>1803</v>
      </c>
      <c r="Y295" s="8"/>
      <c r="Z295" s="7" t="s">
        <v>111</v>
      </c>
      <c r="AA295" s="8" t="s">
        <v>112</v>
      </c>
      <c r="AB295" s="9" t="n">
        <v>263</v>
      </c>
      <c r="AC295" s="8" t="s">
        <v>1804</v>
      </c>
    </row>
    <row r="296" customFormat="false" ht="61.5" hidden="false" customHeight="true" outlineLevel="0" collapsed="false">
      <c r="A296" s="12" t="s">
        <v>1805</v>
      </c>
      <c r="B296" s="8" t="s">
        <v>816</v>
      </c>
      <c r="C296" s="8" t="s">
        <v>917</v>
      </c>
      <c r="D296" s="8" t="s">
        <v>918</v>
      </c>
      <c r="E296" s="8" t="s">
        <v>1806</v>
      </c>
      <c r="F296" s="8" t="s">
        <v>1807</v>
      </c>
      <c r="G296" s="8" t="s">
        <v>193</v>
      </c>
      <c r="H296" s="8" t="s">
        <v>1471</v>
      </c>
      <c r="I296" s="12" t="n">
        <v>0</v>
      </c>
      <c r="J296" s="12" t="n">
        <v>0</v>
      </c>
      <c r="K296" s="8" t="s">
        <v>1472</v>
      </c>
      <c r="L296" s="8" t="s">
        <v>1473</v>
      </c>
      <c r="M296" s="12"/>
      <c r="N296" s="12"/>
      <c r="O296" s="12"/>
      <c r="P296" s="12"/>
      <c r="Q296" s="12"/>
      <c r="R296" s="12"/>
      <c r="S296" s="8" t="s">
        <v>1808</v>
      </c>
      <c r="T296" s="8"/>
      <c r="U296" s="8"/>
      <c r="V296" s="8" t="s">
        <v>1475</v>
      </c>
      <c r="W296" s="8" t="s">
        <v>1476</v>
      </c>
      <c r="X296" s="8"/>
      <c r="Y296" s="8"/>
      <c r="Z296" s="7" t="s">
        <v>114</v>
      </c>
      <c r="AA296" s="8" t="s">
        <v>115</v>
      </c>
      <c r="AB296" s="9" t="n">
        <v>269</v>
      </c>
      <c r="AC296" s="8" t="s">
        <v>1809</v>
      </c>
    </row>
    <row r="297" customFormat="false" ht="61.5" hidden="false" customHeight="true" outlineLevel="0" collapsed="false">
      <c r="A297" s="12" t="s">
        <v>1810</v>
      </c>
      <c r="B297" s="8" t="s">
        <v>816</v>
      </c>
      <c r="C297" s="8" t="s">
        <v>917</v>
      </c>
      <c r="D297" s="8" t="s">
        <v>918</v>
      </c>
      <c r="E297" s="8" t="s">
        <v>1811</v>
      </c>
      <c r="F297" s="8" t="s">
        <v>1812</v>
      </c>
      <c r="G297" s="8" t="s">
        <v>193</v>
      </c>
      <c r="H297" s="8" t="s">
        <v>1471</v>
      </c>
      <c r="I297" s="12" t="n">
        <v>0</v>
      </c>
      <c r="J297" s="12" t="n">
        <v>0</v>
      </c>
      <c r="K297" s="8" t="s">
        <v>1472</v>
      </c>
      <c r="L297" s="8" t="s">
        <v>1473</v>
      </c>
      <c r="M297" s="12"/>
      <c r="N297" s="12"/>
      <c r="O297" s="12"/>
      <c r="P297" s="12"/>
      <c r="Q297" s="12"/>
      <c r="R297" s="12"/>
      <c r="S297" s="8" t="s">
        <v>1813</v>
      </c>
      <c r="T297" s="8"/>
      <c r="U297" s="8"/>
      <c r="V297" s="8" t="s">
        <v>1475</v>
      </c>
      <c r="W297" s="8" t="s">
        <v>1476</v>
      </c>
      <c r="X297" s="8"/>
      <c r="Y297" s="8"/>
      <c r="Z297" s="7" t="s">
        <v>114</v>
      </c>
      <c r="AA297" s="8" t="s">
        <v>115</v>
      </c>
      <c r="AB297" s="9" t="n">
        <v>270</v>
      </c>
      <c r="AC297" s="8" t="s">
        <v>1814</v>
      </c>
    </row>
    <row r="298" customFormat="false" ht="61.5" hidden="false" customHeight="true" outlineLevel="0" collapsed="false">
      <c r="A298" s="12" t="s">
        <v>1815</v>
      </c>
      <c r="B298" s="8" t="s">
        <v>816</v>
      </c>
      <c r="C298" s="8" t="s">
        <v>858</v>
      </c>
      <c r="D298" s="8" t="s">
        <v>885</v>
      </c>
      <c r="E298" s="8" t="s">
        <v>1816</v>
      </c>
      <c r="F298" s="8" t="s">
        <v>1817</v>
      </c>
      <c r="G298" s="8" t="s">
        <v>193</v>
      </c>
      <c r="H298" s="8" t="s">
        <v>1471</v>
      </c>
      <c r="I298" s="12" t="n">
        <v>0</v>
      </c>
      <c r="J298" s="12" t="n">
        <v>0</v>
      </c>
      <c r="K298" s="8" t="s">
        <v>1472</v>
      </c>
      <c r="L298" s="8" t="s">
        <v>1473</v>
      </c>
      <c r="M298" s="12"/>
      <c r="N298" s="12"/>
      <c r="O298" s="12"/>
      <c r="P298" s="12"/>
      <c r="Q298" s="12"/>
      <c r="R298" s="12"/>
      <c r="S298" s="8" t="s">
        <v>1818</v>
      </c>
      <c r="T298" s="8"/>
      <c r="U298" s="8"/>
      <c r="V298" s="8" t="s">
        <v>1475</v>
      </c>
      <c r="W298" s="8" t="s">
        <v>1476</v>
      </c>
      <c r="X298" s="8" t="s">
        <v>1819</v>
      </c>
      <c r="Y298" s="8"/>
      <c r="Z298" s="7" t="s">
        <v>111</v>
      </c>
      <c r="AA298" s="8" t="s">
        <v>112</v>
      </c>
      <c r="AB298" s="9" t="n">
        <v>264</v>
      </c>
      <c r="AC298" s="8" t="s">
        <v>1820</v>
      </c>
    </row>
    <row r="299" customFormat="false" ht="61.5" hidden="false" customHeight="true" outlineLevel="0" collapsed="false">
      <c r="A299" s="12" t="s">
        <v>1821</v>
      </c>
      <c r="B299" s="8" t="s">
        <v>816</v>
      </c>
      <c r="C299" s="8" t="s">
        <v>937</v>
      </c>
      <c r="D299" s="8" t="s">
        <v>938</v>
      </c>
      <c r="E299" s="8" t="s">
        <v>1822</v>
      </c>
      <c r="F299" s="8" t="s">
        <v>1823</v>
      </c>
      <c r="G299" s="8" t="s">
        <v>193</v>
      </c>
      <c r="H299" s="8" t="s">
        <v>1471</v>
      </c>
      <c r="I299" s="12" t="n">
        <v>0</v>
      </c>
      <c r="J299" s="12" t="n">
        <v>0</v>
      </c>
      <c r="K299" s="8" t="s">
        <v>1472</v>
      </c>
      <c r="L299" s="8" t="s">
        <v>1473</v>
      </c>
      <c r="M299" s="12"/>
      <c r="N299" s="12"/>
      <c r="O299" s="12"/>
      <c r="P299" s="12"/>
      <c r="Q299" s="12"/>
      <c r="R299" s="12"/>
      <c r="S299" s="8" t="s">
        <v>1824</v>
      </c>
      <c r="T299" s="8"/>
      <c r="U299" s="8"/>
      <c r="V299" s="8" t="s">
        <v>1475</v>
      </c>
      <c r="W299" s="8" t="s">
        <v>1476</v>
      </c>
      <c r="X299" s="8" t="s">
        <v>1825</v>
      </c>
      <c r="Y299" s="8"/>
      <c r="Z299" s="7" t="s">
        <v>117</v>
      </c>
      <c r="AA299" s="8" t="s">
        <v>118</v>
      </c>
      <c r="AB299" s="9" t="n">
        <v>272</v>
      </c>
      <c r="AC299" s="8" t="s">
        <v>1826</v>
      </c>
    </row>
    <row r="300" customFormat="false" ht="61.5" hidden="false" customHeight="true" outlineLevel="0" collapsed="false">
      <c r="A300" s="12" t="s">
        <v>1827</v>
      </c>
      <c r="B300" s="8" t="s">
        <v>816</v>
      </c>
      <c r="C300" s="8" t="s">
        <v>937</v>
      </c>
      <c r="D300" s="8" t="s">
        <v>938</v>
      </c>
      <c r="E300" s="8" t="s">
        <v>1828</v>
      </c>
      <c r="F300" s="8" t="s">
        <v>1829</v>
      </c>
      <c r="G300" s="8" t="s">
        <v>193</v>
      </c>
      <c r="H300" s="8" t="s">
        <v>1471</v>
      </c>
      <c r="I300" s="12" t="n">
        <v>0</v>
      </c>
      <c r="J300" s="12" t="n">
        <v>0</v>
      </c>
      <c r="K300" s="8" t="s">
        <v>1472</v>
      </c>
      <c r="L300" s="8" t="s">
        <v>1473</v>
      </c>
      <c r="M300" s="12"/>
      <c r="N300" s="12"/>
      <c r="O300" s="12"/>
      <c r="P300" s="12"/>
      <c r="Q300" s="12"/>
      <c r="R300" s="12"/>
      <c r="S300" s="8" t="s">
        <v>1830</v>
      </c>
      <c r="T300" s="8"/>
      <c r="U300" s="8"/>
      <c r="V300" s="8" t="s">
        <v>1475</v>
      </c>
      <c r="W300" s="8" t="s">
        <v>1476</v>
      </c>
      <c r="X300" s="8"/>
      <c r="Y300" s="8"/>
      <c r="Z300" s="7" t="s">
        <v>117</v>
      </c>
      <c r="AA300" s="8" t="s">
        <v>118</v>
      </c>
      <c r="AB300" s="9" t="n">
        <v>273</v>
      </c>
      <c r="AC300" s="8" t="s">
        <v>1831</v>
      </c>
    </row>
    <row r="301" customFormat="false" ht="61.5" hidden="false" customHeight="true" outlineLevel="0" collapsed="false">
      <c r="A301" s="12" t="s">
        <v>1832</v>
      </c>
      <c r="B301" s="8" t="s">
        <v>816</v>
      </c>
      <c r="C301" s="8" t="s">
        <v>937</v>
      </c>
      <c r="D301" s="8" t="s">
        <v>946</v>
      </c>
      <c r="E301" s="8" t="s">
        <v>1833</v>
      </c>
      <c r="F301" s="8" t="s">
        <v>1834</v>
      </c>
      <c r="G301" s="8" t="s">
        <v>193</v>
      </c>
      <c r="H301" s="8" t="s">
        <v>1471</v>
      </c>
      <c r="I301" s="12" t="n">
        <v>0</v>
      </c>
      <c r="J301" s="12" t="n">
        <v>0</v>
      </c>
      <c r="K301" s="8" t="s">
        <v>1472</v>
      </c>
      <c r="L301" s="8" t="s">
        <v>1473</v>
      </c>
      <c r="M301" s="12"/>
      <c r="N301" s="12"/>
      <c r="O301" s="12"/>
      <c r="P301" s="12"/>
      <c r="Q301" s="12"/>
      <c r="R301" s="12"/>
      <c r="S301" s="8" t="s">
        <v>1835</v>
      </c>
      <c r="T301" s="8"/>
      <c r="U301" s="8"/>
      <c r="V301" s="8" t="s">
        <v>1475</v>
      </c>
      <c r="W301" s="8" t="s">
        <v>1476</v>
      </c>
      <c r="X301" s="8"/>
      <c r="Y301" s="8"/>
      <c r="Z301" s="7" t="s">
        <v>117</v>
      </c>
      <c r="AA301" s="8" t="s">
        <v>118</v>
      </c>
      <c r="AB301" s="9" t="n">
        <v>274</v>
      </c>
      <c r="AC301" s="8" t="s">
        <v>1836</v>
      </c>
    </row>
    <row r="302" customFormat="false" ht="61.5" hidden="false" customHeight="true" outlineLevel="0" collapsed="false">
      <c r="A302" s="12" t="s">
        <v>1837</v>
      </c>
      <c r="B302" s="8" t="s">
        <v>816</v>
      </c>
      <c r="C302" s="8" t="s">
        <v>937</v>
      </c>
      <c r="D302" s="8" t="s">
        <v>512</v>
      </c>
      <c r="E302" s="8" t="s">
        <v>1838</v>
      </c>
      <c r="F302" s="8" t="s">
        <v>1839</v>
      </c>
      <c r="G302" s="8" t="s">
        <v>193</v>
      </c>
      <c r="H302" s="8" t="s">
        <v>1471</v>
      </c>
      <c r="I302" s="12" t="n">
        <v>0</v>
      </c>
      <c r="J302" s="12" t="n">
        <v>0</v>
      </c>
      <c r="K302" s="8" t="s">
        <v>1472</v>
      </c>
      <c r="L302" s="8" t="s">
        <v>1473</v>
      </c>
      <c r="M302" s="12"/>
      <c r="N302" s="12"/>
      <c r="O302" s="12"/>
      <c r="P302" s="12"/>
      <c r="Q302" s="12"/>
      <c r="R302" s="12"/>
      <c r="S302" s="8" t="s">
        <v>1840</v>
      </c>
      <c r="T302" s="8"/>
      <c r="U302" s="8"/>
      <c r="V302" s="8" t="s">
        <v>1475</v>
      </c>
      <c r="W302" s="8" t="s">
        <v>1476</v>
      </c>
      <c r="X302" s="8"/>
      <c r="Y302" s="8"/>
      <c r="Z302" s="7" t="s">
        <v>117</v>
      </c>
      <c r="AA302" s="8" t="s">
        <v>118</v>
      </c>
      <c r="AB302" s="9" t="n">
        <v>275</v>
      </c>
      <c r="AC302" s="8" t="s">
        <v>1841</v>
      </c>
    </row>
    <row r="303" customFormat="false" ht="61.5" hidden="false" customHeight="true" outlineLevel="0" collapsed="false">
      <c r="A303" s="12" t="s">
        <v>1842</v>
      </c>
      <c r="B303" s="8" t="s">
        <v>816</v>
      </c>
      <c r="C303" s="8" t="s">
        <v>937</v>
      </c>
      <c r="D303" s="8" t="s">
        <v>946</v>
      </c>
      <c r="E303" s="8" t="s">
        <v>1843</v>
      </c>
      <c r="F303" s="8" t="s">
        <v>1844</v>
      </c>
      <c r="G303" s="8" t="s">
        <v>193</v>
      </c>
      <c r="H303" s="8" t="s">
        <v>1471</v>
      </c>
      <c r="I303" s="12" t="n">
        <v>0</v>
      </c>
      <c r="J303" s="12" t="n">
        <v>0</v>
      </c>
      <c r="K303" s="8" t="s">
        <v>1472</v>
      </c>
      <c r="L303" s="8" t="s">
        <v>1473</v>
      </c>
      <c r="M303" s="12"/>
      <c r="N303" s="12"/>
      <c r="O303" s="12"/>
      <c r="P303" s="12"/>
      <c r="Q303" s="12"/>
      <c r="R303" s="12"/>
      <c r="S303" s="8" t="s">
        <v>1845</v>
      </c>
      <c r="T303" s="8"/>
      <c r="U303" s="8"/>
      <c r="V303" s="8" t="s">
        <v>1475</v>
      </c>
      <c r="W303" s="8" t="s">
        <v>1476</v>
      </c>
      <c r="X303" s="8"/>
      <c r="Y303" s="8"/>
      <c r="Z303" s="7" t="s">
        <v>117</v>
      </c>
      <c r="AA303" s="8" t="s">
        <v>118</v>
      </c>
      <c r="AB303" s="9" t="n">
        <v>276</v>
      </c>
      <c r="AC303" s="8" t="s">
        <v>1846</v>
      </c>
    </row>
    <row r="304" customFormat="false" ht="61.5" hidden="false" customHeight="true" outlineLevel="0" collapsed="false">
      <c r="A304" s="12" t="s">
        <v>1847</v>
      </c>
      <c r="B304" s="8" t="s">
        <v>816</v>
      </c>
      <c r="C304" s="8" t="s">
        <v>937</v>
      </c>
      <c r="D304" s="8" t="s">
        <v>946</v>
      </c>
      <c r="E304" s="8" t="s">
        <v>1848</v>
      </c>
      <c r="F304" s="8" t="s">
        <v>1849</v>
      </c>
      <c r="G304" s="8" t="s">
        <v>193</v>
      </c>
      <c r="H304" s="8" t="s">
        <v>1471</v>
      </c>
      <c r="I304" s="12" t="n">
        <v>0</v>
      </c>
      <c r="J304" s="12" t="n">
        <v>0</v>
      </c>
      <c r="K304" s="8" t="s">
        <v>1472</v>
      </c>
      <c r="L304" s="8" t="s">
        <v>1473</v>
      </c>
      <c r="M304" s="12"/>
      <c r="N304" s="12"/>
      <c r="O304" s="12"/>
      <c r="P304" s="12"/>
      <c r="Q304" s="12"/>
      <c r="R304" s="12"/>
      <c r="S304" s="8" t="s">
        <v>1850</v>
      </c>
      <c r="T304" s="8"/>
      <c r="U304" s="8"/>
      <c r="V304" s="8" t="s">
        <v>1475</v>
      </c>
      <c r="W304" s="8" t="s">
        <v>1476</v>
      </c>
      <c r="X304" s="8" t="s">
        <v>1851</v>
      </c>
      <c r="Y304" s="8"/>
      <c r="Z304" s="7" t="s">
        <v>120</v>
      </c>
      <c r="AA304" s="8" t="s">
        <v>121</v>
      </c>
      <c r="AB304" s="9" t="n">
        <v>278</v>
      </c>
      <c r="AC304" s="8" t="s">
        <v>1842</v>
      </c>
    </row>
    <row r="305" customFormat="false" ht="61.5" hidden="false" customHeight="true" outlineLevel="0" collapsed="false">
      <c r="A305" s="12" t="s">
        <v>1852</v>
      </c>
      <c r="B305" s="8" t="s">
        <v>1004</v>
      </c>
      <c r="C305" s="8" t="s">
        <v>1005</v>
      </c>
      <c r="D305" s="8" t="s">
        <v>1018</v>
      </c>
      <c r="E305" s="8" t="s">
        <v>1853</v>
      </c>
      <c r="F305" s="8" t="s">
        <v>1854</v>
      </c>
      <c r="G305" s="8" t="s">
        <v>193</v>
      </c>
      <c r="H305" s="8" t="s">
        <v>1471</v>
      </c>
      <c r="I305" s="12" t="n">
        <v>0</v>
      </c>
      <c r="J305" s="12" t="n">
        <v>0</v>
      </c>
      <c r="K305" s="8" t="s">
        <v>1472</v>
      </c>
      <c r="L305" s="8" t="s">
        <v>1473</v>
      </c>
      <c r="M305" s="12"/>
      <c r="N305" s="12"/>
      <c r="O305" s="12"/>
      <c r="P305" s="12"/>
      <c r="Q305" s="12"/>
      <c r="R305" s="12"/>
      <c r="S305" s="8" t="s">
        <v>1855</v>
      </c>
      <c r="T305" s="8"/>
      <c r="U305" s="8"/>
      <c r="V305" s="8" t="s">
        <v>1475</v>
      </c>
      <c r="W305" s="8" t="s">
        <v>1476</v>
      </c>
      <c r="X305" s="8"/>
      <c r="Y305" s="8"/>
      <c r="Z305" s="7" t="s">
        <v>61</v>
      </c>
      <c r="AA305" s="8" t="s">
        <v>62</v>
      </c>
      <c r="AB305" s="9" t="n">
        <v>123</v>
      </c>
      <c r="AC305" s="8" t="s">
        <v>1856</v>
      </c>
    </row>
    <row r="306" customFormat="false" ht="61.5" hidden="false" customHeight="true" outlineLevel="0" collapsed="false">
      <c r="A306" s="12" t="s">
        <v>1857</v>
      </c>
      <c r="B306" s="8" t="s">
        <v>1004</v>
      </c>
      <c r="C306" s="8" t="s">
        <v>1005</v>
      </c>
      <c r="D306" s="8" t="s">
        <v>1018</v>
      </c>
      <c r="E306" s="8" t="s">
        <v>1858</v>
      </c>
      <c r="F306" s="8" t="s">
        <v>1859</v>
      </c>
      <c r="G306" s="8" t="s">
        <v>193</v>
      </c>
      <c r="H306" s="8" t="s">
        <v>1471</v>
      </c>
      <c r="I306" s="12" t="n">
        <v>0</v>
      </c>
      <c r="J306" s="12" t="n">
        <v>0</v>
      </c>
      <c r="K306" s="8" t="s">
        <v>1472</v>
      </c>
      <c r="L306" s="8" t="s">
        <v>1473</v>
      </c>
      <c r="M306" s="12"/>
      <c r="N306" s="12"/>
      <c r="O306" s="12"/>
      <c r="P306" s="12"/>
      <c r="Q306" s="12"/>
      <c r="R306" s="12"/>
      <c r="S306" s="8" t="s">
        <v>1860</v>
      </c>
      <c r="T306" s="8"/>
      <c r="U306" s="8"/>
      <c r="V306" s="8" t="s">
        <v>1475</v>
      </c>
      <c r="W306" s="8" t="s">
        <v>1476</v>
      </c>
      <c r="X306" s="8"/>
      <c r="Y306" s="8"/>
      <c r="Z306" s="7" t="s">
        <v>61</v>
      </c>
      <c r="AA306" s="8" t="s">
        <v>62</v>
      </c>
      <c r="AB306" s="9" t="n">
        <v>126</v>
      </c>
      <c r="AC306" s="8" t="s">
        <v>1861</v>
      </c>
    </row>
    <row r="307" customFormat="false" ht="61.5" hidden="false" customHeight="true" outlineLevel="0" collapsed="false">
      <c r="A307" s="12" t="s">
        <v>1862</v>
      </c>
      <c r="B307" s="8" t="s">
        <v>1004</v>
      </c>
      <c r="C307" s="8" t="s">
        <v>1005</v>
      </c>
      <c r="D307" s="8" t="s">
        <v>1006</v>
      </c>
      <c r="E307" s="8" t="s">
        <v>1863</v>
      </c>
      <c r="F307" s="8" t="s">
        <v>1864</v>
      </c>
      <c r="G307" s="8" t="s">
        <v>193</v>
      </c>
      <c r="H307" s="8" t="s">
        <v>1471</v>
      </c>
      <c r="I307" s="12" t="n">
        <v>0</v>
      </c>
      <c r="J307" s="12" t="n">
        <v>0</v>
      </c>
      <c r="K307" s="8" t="s">
        <v>1472</v>
      </c>
      <c r="L307" s="8" t="s">
        <v>1473</v>
      </c>
      <c r="M307" s="12"/>
      <c r="N307" s="12"/>
      <c r="O307" s="12"/>
      <c r="P307" s="12"/>
      <c r="Q307" s="12"/>
      <c r="R307" s="12"/>
      <c r="S307" s="8" t="s">
        <v>1865</v>
      </c>
      <c r="T307" s="8"/>
      <c r="U307" s="8"/>
      <c r="V307" s="8" t="s">
        <v>1475</v>
      </c>
      <c r="W307" s="8" t="s">
        <v>1476</v>
      </c>
      <c r="X307" s="8"/>
      <c r="Y307" s="8"/>
      <c r="Z307" s="7" t="s">
        <v>61</v>
      </c>
      <c r="AA307" s="8" t="s">
        <v>62</v>
      </c>
      <c r="AB307" s="9" t="n">
        <v>127</v>
      </c>
      <c r="AC307" s="8" t="s">
        <v>1866</v>
      </c>
    </row>
    <row r="308" customFormat="false" ht="61.5" hidden="false" customHeight="true" outlineLevel="0" collapsed="false">
      <c r="A308" s="12" t="s">
        <v>1867</v>
      </c>
      <c r="B308" s="8" t="s">
        <v>1004</v>
      </c>
      <c r="C308" s="8" t="s">
        <v>1005</v>
      </c>
      <c r="D308" s="8" t="s">
        <v>1018</v>
      </c>
      <c r="E308" s="8" t="s">
        <v>1868</v>
      </c>
      <c r="F308" s="8" t="s">
        <v>1869</v>
      </c>
      <c r="G308" s="8" t="s">
        <v>193</v>
      </c>
      <c r="H308" s="8" t="s">
        <v>1471</v>
      </c>
      <c r="I308" s="12" t="n">
        <v>0</v>
      </c>
      <c r="J308" s="12" t="n">
        <v>0</v>
      </c>
      <c r="K308" s="8" t="s">
        <v>1472</v>
      </c>
      <c r="L308" s="8" t="s">
        <v>1473</v>
      </c>
      <c r="M308" s="12"/>
      <c r="N308" s="12"/>
      <c r="O308" s="12"/>
      <c r="P308" s="12"/>
      <c r="Q308" s="12"/>
      <c r="R308" s="12"/>
      <c r="S308" s="8" t="s">
        <v>1870</v>
      </c>
      <c r="T308" s="8"/>
      <c r="U308" s="8"/>
      <c r="V308" s="8" t="s">
        <v>1475</v>
      </c>
      <c r="W308" s="8" t="s">
        <v>1476</v>
      </c>
      <c r="X308" s="8" t="s">
        <v>1871</v>
      </c>
      <c r="Y308" s="8"/>
      <c r="Z308" s="7" t="s">
        <v>61</v>
      </c>
      <c r="AA308" s="8" t="s">
        <v>62</v>
      </c>
      <c r="AB308" s="9" t="n">
        <v>129</v>
      </c>
      <c r="AC308" s="8" t="s">
        <v>1872</v>
      </c>
    </row>
    <row r="309" customFormat="false" ht="61.5" hidden="false" customHeight="true" outlineLevel="0" collapsed="false">
      <c r="A309" s="12" t="s">
        <v>1873</v>
      </c>
      <c r="B309" s="8" t="s">
        <v>1004</v>
      </c>
      <c r="C309" s="8" t="s">
        <v>1005</v>
      </c>
      <c r="D309" s="8" t="s">
        <v>1018</v>
      </c>
      <c r="E309" s="8" t="s">
        <v>1874</v>
      </c>
      <c r="F309" s="8" t="s">
        <v>1875</v>
      </c>
      <c r="G309" s="8" t="s">
        <v>193</v>
      </c>
      <c r="H309" s="8" t="s">
        <v>1471</v>
      </c>
      <c r="I309" s="12" t="n">
        <v>0</v>
      </c>
      <c r="J309" s="12" t="n">
        <v>0</v>
      </c>
      <c r="K309" s="8" t="s">
        <v>1472</v>
      </c>
      <c r="L309" s="8" t="s">
        <v>1473</v>
      </c>
      <c r="M309" s="12"/>
      <c r="N309" s="12"/>
      <c r="O309" s="12"/>
      <c r="P309" s="12"/>
      <c r="Q309" s="12"/>
      <c r="R309" s="12"/>
      <c r="S309" s="8" t="s">
        <v>1876</v>
      </c>
      <c r="T309" s="8"/>
      <c r="U309" s="8"/>
      <c r="V309" s="8" t="s">
        <v>1475</v>
      </c>
      <c r="W309" s="8" t="s">
        <v>1476</v>
      </c>
      <c r="X309" s="8"/>
      <c r="Y309" s="8"/>
      <c r="Z309" s="7" t="s">
        <v>61</v>
      </c>
      <c r="AA309" s="8" t="s">
        <v>62</v>
      </c>
      <c r="AB309" s="9" t="n">
        <v>128</v>
      </c>
      <c r="AC309" s="8" t="s">
        <v>1017</v>
      </c>
    </row>
    <row r="310" customFormat="false" ht="61.5" hidden="false" customHeight="true" outlineLevel="0" collapsed="false">
      <c r="A310" s="12" t="s">
        <v>1877</v>
      </c>
      <c r="B310" s="8" t="s">
        <v>1004</v>
      </c>
      <c r="C310" s="8" t="s">
        <v>1005</v>
      </c>
      <c r="D310" s="8" t="s">
        <v>1006</v>
      </c>
      <c r="E310" s="8" t="s">
        <v>1878</v>
      </c>
      <c r="F310" s="8" t="s">
        <v>1879</v>
      </c>
      <c r="G310" s="8" t="s">
        <v>193</v>
      </c>
      <c r="H310" s="8" t="s">
        <v>1471</v>
      </c>
      <c r="I310" s="12" t="n">
        <v>0</v>
      </c>
      <c r="J310" s="12" t="n">
        <v>0</v>
      </c>
      <c r="K310" s="8" t="s">
        <v>1472</v>
      </c>
      <c r="L310" s="8" t="s">
        <v>1473</v>
      </c>
      <c r="M310" s="12"/>
      <c r="N310" s="12"/>
      <c r="O310" s="12"/>
      <c r="P310" s="12"/>
      <c r="Q310" s="12"/>
      <c r="R310" s="12"/>
      <c r="S310" s="8" t="s">
        <v>1880</v>
      </c>
      <c r="T310" s="8"/>
      <c r="U310" s="8"/>
      <c r="V310" s="8" t="s">
        <v>1475</v>
      </c>
      <c r="W310" s="8" t="s">
        <v>1476</v>
      </c>
      <c r="X310" s="8" t="s">
        <v>1881</v>
      </c>
      <c r="Y310" s="8"/>
      <c r="Z310" s="7" t="s">
        <v>73</v>
      </c>
      <c r="AA310" s="8" t="s">
        <v>74</v>
      </c>
      <c r="AB310" s="9" t="n">
        <v>169</v>
      </c>
      <c r="AC310" s="8" t="s">
        <v>1882</v>
      </c>
    </row>
    <row r="311" customFormat="false" ht="61.5" hidden="false" customHeight="true" outlineLevel="0" collapsed="false">
      <c r="A311" s="12" t="s">
        <v>1883</v>
      </c>
      <c r="B311" s="8" t="s">
        <v>1004</v>
      </c>
      <c r="C311" s="8" t="s">
        <v>1005</v>
      </c>
      <c r="D311" s="8" t="s">
        <v>1012</v>
      </c>
      <c r="E311" s="8" t="s">
        <v>1884</v>
      </c>
      <c r="F311" s="8" t="s">
        <v>1885</v>
      </c>
      <c r="G311" s="8" t="s">
        <v>193</v>
      </c>
      <c r="H311" s="8" t="s">
        <v>1471</v>
      </c>
      <c r="I311" s="12" t="n">
        <v>0</v>
      </c>
      <c r="J311" s="12" t="n">
        <v>0</v>
      </c>
      <c r="K311" s="8" t="s">
        <v>1472</v>
      </c>
      <c r="L311" s="8" t="s">
        <v>1473</v>
      </c>
      <c r="M311" s="12"/>
      <c r="N311" s="12"/>
      <c r="O311" s="12"/>
      <c r="P311" s="12"/>
      <c r="Q311" s="12"/>
      <c r="R311" s="12"/>
      <c r="S311" s="8" t="s">
        <v>1886</v>
      </c>
      <c r="T311" s="8"/>
      <c r="U311" s="8"/>
      <c r="V311" s="8" t="s">
        <v>1475</v>
      </c>
      <c r="W311" s="8" t="s">
        <v>1476</v>
      </c>
      <c r="X311" s="8" t="s">
        <v>1887</v>
      </c>
      <c r="Y311" s="8"/>
      <c r="Z311" s="7" t="s">
        <v>61</v>
      </c>
      <c r="AA311" s="8" t="s">
        <v>62</v>
      </c>
      <c r="AB311" s="9" t="n">
        <v>124</v>
      </c>
      <c r="AC311" s="8" t="s">
        <v>1888</v>
      </c>
    </row>
    <row r="312" customFormat="false" ht="61.5" hidden="false" customHeight="true" outlineLevel="0" collapsed="false">
      <c r="A312" s="12" t="s">
        <v>1889</v>
      </c>
      <c r="B312" s="8" t="s">
        <v>1004</v>
      </c>
      <c r="C312" s="8" t="s">
        <v>1005</v>
      </c>
      <c r="D312" s="8" t="s">
        <v>1012</v>
      </c>
      <c r="E312" s="8" t="s">
        <v>1890</v>
      </c>
      <c r="F312" s="8" t="s">
        <v>1891</v>
      </c>
      <c r="G312" s="8" t="s">
        <v>193</v>
      </c>
      <c r="H312" s="8" t="s">
        <v>1471</v>
      </c>
      <c r="I312" s="12" t="n">
        <v>0</v>
      </c>
      <c r="J312" s="12" t="n">
        <v>0</v>
      </c>
      <c r="K312" s="8" t="s">
        <v>1472</v>
      </c>
      <c r="L312" s="8" t="s">
        <v>1473</v>
      </c>
      <c r="M312" s="12"/>
      <c r="N312" s="12"/>
      <c r="O312" s="12"/>
      <c r="P312" s="12"/>
      <c r="Q312" s="12"/>
      <c r="R312" s="12"/>
      <c r="S312" s="8" t="s">
        <v>1892</v>
      </c>
      <c r="T312" s="8"/>
      <c r="U312" s="8"/>
      <c r="V312" s="8" t="s">
        <v>1475</v>
      </c>
      <c r="W312" s="8" t="s">
        <v>1476</v>
      </c>
      <c r="X312" s="8" t="s">
        <v>1893</v>
      </c>
      <c r="Y312" s="8"/>
      <c r="Z312" s="7" t="s">
        <v>73</v>
      </c>
      <c r="AA312" s="8" t="s">
        <v>74</v>
      </c>
      <c r="AB312" s="9" t="n">
        <v>167</v>
      </c>
      <c r="AC312" s="8" t="s">
        <v>1894</v>
      </c>
    </row>
    <row r="313" customFormat="false" ht="61.5" hidden="false" customHeight="true" outlineLevel="0" collapsed="false">
      <c r="A313" s="12" t="s">
        <v>1895</v>
      </c>
      <c r="B313" s="8" t="s">
        <v>1004</v>
      </c>
      <c r="C313" s="8" t="s">
        <v>1005</v>
      </c>
      <c r="D313" s="8" t="s">
        <v>1896</v>
      </c>
      <c r="E313" s="8" t="s">
        <v>1897</v>
      </c>
      <c r="F313" s="8" t="s">
        <v>1898</v>
      </c>
      <c r="G313" s="8" t="s">
        <v>193</v>
      </c>
      <c r="H313" s="8" t="s">
        <v>1471</v>
      </c>
      <c r="I313" s="12" t="n">
        <v>0</v>
      </c>
      <c r="J313" s="12" t="n">
        <v>0</v>
      </c>
      <c r="K313" s="8" t="s">
        <v>1472</v>
      </c>
      <c r="L313" s="8" t="s">
        <v>1473</v>
      </c>
      <c r="M313" s="12"/>
      <c r="N313" s="12"/>
      <c r="O313" s="12"/>
      <c r="P313" s="12"/>
      <c r="Q313" s="12"/>
      <c r="R313" s="12"/>
      <c r="S313" s="8" t="s">
        <v>1899</v>
      </c>
      <c r="T313" s="8"/>
      <c r="U313" s="8"/>
      <c r="V313" s="8" t="s">
        <v>1475</v>
      </c>
      <c r="W313" s="8" t="s">
        <v>1476</v>
      </c>
      <c r="X313" s="8" t="s">
        <v>1900</v>
      </c>
      <c r="Y313" s="8"/>
      <c r="Z313" s="7" t="s">
        <v>61</v>
      </c>
      <c r="AA313" s="8" t="s">
        <v>62</v>
      </c>
      <c r="AB313" s="9" t="n">
        <v>125</v>
      </c>
      <c r="AC313" s="8" t="s">
        <v>1901</v>
      </c>
    </row>
    <row r="314" customFormat="false" ht="61.5" hidden="false" customHeight="true" outlineLevel="0" collapsed="false">
      <c r="A314" s="12" t="s">
        <v>1902</v>
      </c>
      <c r="B314" s="8" t="s">
        <v>188</v>
      </c>
      <c r="C314" s="8" t="s">
        <v>1903</v>
      </c>
      <c r="D314" s="8" t="s">
        <v>1904</v>
      </c>
      <c r="E314" s="8" t="s">
        <v>1905</v>
      </c>
      <c r="F314" s="8" t="s">
        <v>1906</v>
      </c>
      <c r="G314" s="8" t="s">
        <v>193</v>
      </c>
      <c r="H314" s="8" t="s">
        <v>1471</v>
      </c>
      <c r="I314" s="12" t="n">
        <v>0</v>
      </c>
      <c r="J314" s="12" t="n">
        <v>0</v>
      </c>
      <c r="K314" s="8" t="s">
        <v>1472</v>
      </c>
      <c r="L314" s="8" t="s">
        <v>1473</v>
      </c>
      <c r="M314" s="12"/>
      <c r="N314" s="12"/>
      <c r="O314" s="12"/>
      <c r="P314" s="12"/>
      <c r="Q314" s="12"/>
      <c r="R314" s="12"/>
      <c r="S314" s="8" t="s">
        <v>1907</v>
      </c>
      <c r="T314" s="8"/>
      <c r="U314" s="8"/>
      <c r="V314" s="8" t="s">
        <v>1475</v>
      </c>
      <c r="W314" s="8" t="s">
        <v>1476</v>
      </c>
      <c r="X314" s="8"/>
      <c r="Y314" s="8"/>
      <c r="Z314" s="7" t="s">
        <v>102</v>
      </c>
      <c r="AA314" s="8" t="s">
        <v>103</v>
      </c>
      <c r="AB314" s="9" t="n">
        <v>231</v>
      </c>
      <c r="AC314" s="8" t="s">
        <v>1908</v>
      </c>
    </row>
    <row r="315" customFormat="false" ht="61.5" hidden="false" customHeight="true" outlineLevel="0" collapsed="false">
      <c r="A315" s="12" t="s">
        <v>1909</v>
      </c>
      <c r="B315" s="8" t="s">
        <v>188</v>
      </c>
      <c r="C315" s="8" t="s">
        <v>1903</v>
      </c>
      <c r="D315" s="8" t="s">
        <v>1910</v>
      </c>
      <c r="E315" s="8" t="s">
        <v>1911</v>
      </c>
      <c r="F315" s="8" t="s">
        <v>1912</v>
      </c>
      <c r="G315" s="8" t="s">
        <v>193</v>
      </c>
      <c r="H315" s="8" t="s">
        <v>1471</v>
      </c>
      <c r="I315" s="12" t="n">
        <v>0</v>
      </c>
      <c r="J315" s="12" t="n">
        <v>0</v>
      </c>
      <c r="K315" s="8" t="s">
        <v>1472</v>
      </c>
      <c r="L315" s="8" t="s">
        <v>1473</v>
      </c>
      <c r="M315" s="12"/>
      <c r="N315" s="12"/>
      <c r="O315" s="12"/>
      <c r="P315" s="12"/>
      <c r="Q315" s="12"/>
      <c r="R315" s="12"/>
      <c r="S315" s="8" t="s">
        <v>1913</v>
      </c>
      <c r="T315" s="8"/>
      <c r="U315" s="8"/>
      <c r="V315" s="8" t="s">
        <v>1475</v>
      </c>
      <c r="W315" s="8" t="s">
        <v>1476</v>
      </c>
      <c r="X315" s="8"/>
      <c r="Y315" s="8"/>
      <c r="Z315" s="7" t="s">
        <v>102</v>
      </c>
      <c r="AA315" s="8" t="s">
        <v>103</v>
      </c>
      <c r="AB315" s="9" t="n">
        <v>232</v>
      </c>
      <c r="AC315" s="8" t="s">
        <v>1914</v>
      </c>
    </row>
    <row r="316" customFormat="false" ht="61.5" hidden="false" customHeight="true" outlineLevel="0" collapsed="false">
      <c r="A316" s="12" t="s">
        <v>1915</v>
      </c>
      <c r="B316" s="8" t="s">
        <v>188</v>
      </c>
      <c r="C316" s="8" t="s">
        <v>1903</v>
      </c>
      <c r="D316" s="8" t="s">
        <v>1916</v>
      </c>
      <c r="E316" s="8" t="s">
        <v>1917</v>
      </c>
      <c r="F316" s="8" t="s">
        <v>1918</v>
      </c>
      <c r="G316" s="8" t="s">
        <v>193</v>
      </c>
      <c r="H316" s="8" t="s">
        <v>1471</v>
      </c>
      <c r="I316" s="12" t="n">
        <v>0</v>
      </c>
      <c r="J316" s="12" t="n">
        <v>0</v>
      </c>
      <c r="K316" s="8" t="s">
        <v>1472</v>
      </c>
      <c r="L316" s="8" t="s">
        <v>1473</v>
      </c>
      <c r="M316" s="12"/>
      <c r="N316" s="12"/>
      <c r="O316" s="12"/>
      <c r="P316" s="12"/>
      <c r="Q316" s="12"/>
      <c r="R316" s="12"/>
      <c r="S316" s="8" t="s">
        <v>1919</v>
      </c>
      <c r="T316" s="8"/>
      <c r="U316" s="8"/>
      <c r="V316" s="8" t="s">
        <v>1475</v>
      </c>
      <c r="W316" s="8" t="s">
        <v>1476</v>
      </c>
      <c r="X316" s="8"/>
      <c r="Y316" s="8"/>
      <c r="Z316" s="7" t="s">
        <v>102</v>
      </c>
      <c r="AA316" s="8" t="s">
        <v>103</v>
      </c>
      <c r="AB316" s="9" t="n">
        <v>234</v>
      </c>
      <c r="AC316" s="8" t="s">
        <v>1920</v>
      </c>
    </row>
    <row r="317" customFormat="false" ht="61.5" hidden="false" customHeight="true" outlineLevel="0" collapsed="false">
      <c r="A317" s="12" t="s">
        <v>1921</v>
      </c>
      <c r="B317" s="8" t="s">
        <v>188</v>
      </c>
      <c r="C317" s="8" t="s">
        <v>1903</v>
      </c>
      <c r="D317" s="8" t="s">
        <v>1922</v>
      </c>
      <c r="E317" s="8" t="s">
        <v>1923</v>
      </c>
      <c r="F317" s="8" t="s">
        <v>1924</v>
      </c>
      <c r="G317" s="8" t="s">
        <v>193</v>
      </c>
      <c r="H317" s="8" t="s">
        <v>1471</v>
      </c>
      <c r="I317" s="12" t="n">
        <v>0</v>
      </c>
      <c r="J317" s="12" t="n">
        <v>0</v>
      </c>
      <c r="K317" s="8" t="s">
        <v>1472</v>
      </c>
      <c r="L317" s="8" t="s">
        <v>1473</v>
      </c>
      <c r="M317" s="12"/>
      <c r="N317" s="12"/>
      <c r="O317" s="12"/>
      <c r="P317" s="12"/>
      <c r="Q317" s="12"/>
      <c r="R317" s="12"/>
      <c r="S317" s="8" t="s">
        <v>1925</v>
      </c>
      <c r="T317" s="8"/>
      <c r="U317" s="8"/>
      <c r="V317" s="8" t="s">
        <v>1475</v>
      </c>
      <c r="W317" s="8" t="s">
        <v>1476</v>
      </c>
      <c r="X317" s="8" t="s">
        <v>1926</v>
      </c>
      <c r="Y317" s="8"/>
      <c r="Z317" s="7" t="s">
        <v>102</v>
      </c>
      <c r="AA317" s="8" t="s">
        <v>103</v>
      </c>
      <c r="AB317" s="9" t="n">
        <v>235</v>
      </c>
      <c r="AC317" s="8" t="s">
        <v>1920</v>
      </c>
    </row>
    <row r="318" customFormat="false" ht="61.5" hidden="false" customHeight="true" outlineLevel="0" collapsed="false">
      <c r="A318" s="12" t="s">
        <v>1927</v>
      </c>
      <c r="B318" s="8" t="s">
        <v>188</v>
      </c>
      <c r="C318" s="8" t="s">
        <v>1903</v>
      </c>
      <c r="D318" s="8" t="s">
        <v>1928</v>
      </c>
      <c r="E318" s="8" t="s">
        <v>1929</v>
      </c>
      <c r="F318" s="8" t="s">
        <v>1930</v>
      </c>
      <c r="G318" s="8" t="s">
        <v>193</v>
      </c>
      <c r="H318" s="8" t="s">
        <v>1471</v>
      </c>
      <c r="I318" s="12" t="n">
        <v>0</v>
      </c>
      <c r="J318" s="12" t="n">
        <v>0</v>
      </c>
      <c r="K318" s="8" t="s">
        <v>1472</v>
      </c>
      <c r="L318" s="8" t="s">
        <v>1473</v>
      </c>
      <c r="M318" s="12"/>
      <c r="N318" s="12"/>
      <c r="O318" s="12"/>
      <c r="P318" s="12"/>
      <c r="Q318" s="12"/>
      <c r="R318" s="12"/>
      <c r="S318" s="8" t="s">
        <v>1931</v>
      </c>
      <c r="T318" s="8"/>
      <c r="U318" s="8"/>
      <c r="V318" s="8" t="s">
        <v>1475</v>
      </c>
      <c r="W318" s="8" t="s">
        <v>1476</v>
      </c>
      <c r="X318" s="8" t="s">
        <v>1932</v>
      </c>
      <c r="Y318" s="8"/>
      <c r="Z318" s="7" t="s">
        <v>102</v>
      </c>
      <c r="AA318" s="8" t="s">
        <v>103</v>
      </c>
      <c r="AB318" s="9" t="n">
        <v>236</v>
      </c>
      <c r="AC318" s="8" t="s">
        <v>1933</v>
      </c>
    </row>
    <row r="319" customFormat="false" ht="61.5" hidden="false" customHeight="true" outlineLevel="0" collapsed="false">
      <c r="A319" s="12" t="s">
        <v>1934</v>
      </c>
      <c r="B319" s="8" t="s">
        <v>188</v>
      </c>
      <c r="C319" s="8" t="s">
        <v>1903</v>
      </c>
      <c r="D319" s="8" t="s">
        <v>1935</v>
      </c>
      <c r="E319" s="8" t="s">
        <v>1936</v>
      </c>
      <c r="F319" s="8" t="s">
        <v>1937</v>
      </c>
      <c r="G319" s="8" t="s">
        <v>193</v>
      </c>
      <c r="H319" s="8" t="s">
        <v>1471</v>
      </c>
      <c r="I319" s="12" t="n">
        <v>0</v>
      </c>
      <c r="J319" s="12" t="n">
        <v>0</v>
      </c>
      <c r="K319" s="8" t="s">
        <v>1472</v>
      </c>
      <c r="L319" s="8" t="s">
        <v>1473</v>
      </c>
      <c r="M319" s="12"/>
      <c r="N319" s="12"/>
      <c r="O319" s="12"/>
      <c r="P319" s="12"/>
      <c r="Q319" s="12"/>
      <c r="R319" s="12"/>
      <c r="S319" s="8" t="s">
        <v>1907</v>
      </c>
      <c r="T319" s="8"/>
      <c r="U319" s="8"/>
      <c r="V319" s="8" t="s">
        <v>1475</v>
      </c>
      <c r="W319" s="8" t="s">
        <v>1476</v>
      </c>
      <c r="X319" s="8" t="s">
        <v>1938</v>
      </c>
      <c r="Y319" s="8"/>
      <c r="Z319" s="7" t="s">
        <v>102</v>
      </c>
      <c r="AA319" s="8" t="s">
        <v>103</v>
      </c>
      <c r="AB319" s="9" t="n">
        <v>233</v>
      </c>
      <c r="AC319" s="8" t="s">
        <v>596</v>
      </c>
    </row>
    <row r="320" customFormat="false" ht="61.5" hidden="false" customHeight="true" outlineLevel="0" collapsed="false">
      <c r="A320" s="12" t="s">
        <v>1939</v>
      </c>
      <c r="B320" s="8" t="s">
        <v>188</v>
      </c>
      <c r="C320" s="8" t="s">
        <v>1903</v>
      </c>
      <c r="D320" s="8" t="s">
        <v>1940</v>
      </c>
      <c r="E320" s="8" t="s">
        <v>1941</v>
      </c>
      <c r="F320" s="8" t="s">
        <v>1942</v>
      </c>
      <c r="G320" s="8" t="s">
        <v>193</v>
      </c>
      <c r="H320" s="8" t="s">
        <v>1471</v>
      </c>
      <c r="I320" s="12" t="n">
        <v>0</v>
      </c>
      <c r="J320" s="12" t="n">
        <v>0</v>
      </c>
      <c r="K320" s="8" t="s">
        <v>1472</v>
      </c>
      <c r="L320" s="8" t="s">
        <v>1473</v>
      </c>
      <c r="M320" s="12"/>
      <c r="N320" s="12"/>
      <c r="O320" s="12"/>
      <c r="P320" s="12"/>
      <c r="Q320" s="12"/>
      <c r="R320" s="12"/>
      <c r="S320" s="8" t="s">
        <v>1907</v>
      </c>
      <c r="T320" s="8"/>
      <c r="U320" s="8"/>
      <c r="V320" s="8" t="s">
        <v>1475</v>
      </c>
      <c r="W320" s="8" t="s">
        <v>1476</v>
      </c>
      <c r="X320" s="8"/>
      <c r="Y320" s="8"/>
      <c r="Z320" s="7" t="s">
        <v>102</v>
      </c>
      <c r="AA320" s="8" t="s">
        <v>103</v>
      </c>
      <c r="AB320" s="9" t="n">
        <v>237</v>
      </c>
      <c r="AC320" s="8" t="s">
        <v>1943</v>
      </c>
    </row>
    <row r="321" customFormat="false" ht="61.5" hidden="false" customHeight="true" outlineLevel="0" collapsed="false">
      <c r="A321" s="12" t="s">
        <v>1944</v>
      </c>
      <c r="B321" s="8" t="s">
        <v>188</v>
      </c>
      <c r="C321" s="8" t="s">
        <v>1945</v>
      </c>
      <c r="D321" s="8" t="s">
        <v>1946</v>
      </c>
      <c r="E321" s="8" t="s">
        <v>1947</v>
      </c>
      <c r="F321" s="8" t="s">
        <v>1948</v>
      </c>
      <c r="G321" s="8" t="s">
        <v>370</v>
      </c>
      <c r="H321" s="8" t="s">
        <v>1471</v>
      </c>
      <c r="I321" s="12" t="n">
        <v>0</v>
      </c>
      <c r="J321" s="12" t="n">
        <v>0</v>
      </c>
      <c r="K321" s="8" t="s">
        <v>1472</v>
      </c>
      <c r="L321" s="8" t="s">
        <v>1473</v>
      </c>
      <c r="M321" s="12"/>
      <c r="N321" s="12"/>
      <c r="O321" s="12"/>
      <c r="P321" s="12"/>
      <c r="Q321" s="12"/>
      <c r="R321" s="12"/>
      <c r="S321" s="8" t="s">
        <v>1949</v>
      </c>
      <c r="T321" s="8"/>
      <c r="U321" s="8"/>
      <c r="V321" s="8" t="s">
        <v>1475</v>
      </c>
      <c r="W321" s="8" t="s">
        <v>1476</v>
      </c>
      <c r="X321" s="8"/>
      <c r="Y321" s="8"/>
      <c r="Z321" s="7" t="s">
        <v>105</v>
      </c>
      <c r="AA321" s="8" t="s">
        <v>106</v>
      </c>
      <c r="AB321" s="9" t="n">
        <v>238</v>
      </c>
      <c r="AC321" s="8" t="s">
        <v>1950</v>
      </c>
    </row>
    <row r="322" customFormat="false" ht="61.5" hidden="false" customHeight="true" outlineLevel="0" collapsed="false">
      <c r="A322" s="12" t="s">
        <v>1951</v>
      </c>
      <c r="B322" s="8" t="s">
        <v>188</v>
      </c>
      <c r="C322" s="8" t="s">
        <v>1945</v>
      </c>
      <c r="D322" s="8" t="s">
        <v>1952</v>
      </c>
      <c r="E322" s="8" t="s">
        <v>1953</v>
      </c>
      <c r="F322" s="8" t="s">
        <v>1954</v>
      </c>
      <c r="G322" s="8" t="s">
        <v>193</v>
      </c>
      <c r="H322" s="8" t="s">
        <v>1471</v>
      </c>
      <c r="I322" s="12" t="n">
        <v>0</v>
      </c>
      <c r="J322" s="12" t="n">
        <v>0</v>
      </c>
      <c r="K322" s="8" t="s">
        <v>1472</v>
      </c>
      <c r="L322" s="8" t="s">
        <v>1473</v>
      </c>
      <c r="M322" s="12"/>
      <c r="N322" s="12"/>
      <c r="O322" s="12"/>
      <c r="P322" s="12"/>
      <c r="Q322" s="12"/>
      <c r="R322" s="12"/>
      <c r="S322" s="8" t="s">
        <v>1955</v>
      </c>
      <c r="T322" s="8"/>
      <c r="U322" s="8"/>
      <c r="V322" s="8" t="s">
        <v>1475</v>
      </c>
      <c r="W322" s="8" t="s">
        <v>1476</v>
      </c>
      <c r="X322" s="8"/>
      <c r="Y322" s="8"/>
      <c r="Z322" s="7" t="s">
        <v>105</v>
      </c>
      <c r="AA322" s="8" t="s">
        <v>106</v>
      </c>
      <c r="AB322" s="9" t="n">
        <v>239</v>
      </c>
      <c r="AC322" s="8" t="s">
        <v>1956</v>
      </c>
    </row>
    <row r="323" customFormat="false" ht="61.5" hidden="false" customHeight="true" outlineLevel="0" collapsed="false">
      <c r="A323" s="12" t="s">
        <v>1957</v>
      </c>
      <c r="B323" s="8" t="s">
        <v>188</v>
      </c>
      <c r="C323" s="8" t="s">
        <v>1945</v>
      </c>
      <c r="D323" s="8" t="s">
        <v>1946</v>
      </c>
      <c r="E323" s="8" t="s">
        <v>1958</v>
      </c>
      <c r="F323" s="8" t="s">
        <v>1959</v>
      </c>
      <c r="G323" s="8" t="s">
        <v>370</v>
      </c>
      <c r="H323" s="8" t="s">
        <v>1471</v>
      </c>
      <c r="I323" s="12" t="n">
        <v>0</v>
      </c>
      <c r="J323" s="12" t="n">
        <v>0</v>
      </c>
      <c r="K323" s="8" t="s">
        <v>1472</v>
      </c>
      <c r="L323" s="8" t="s">
        <v>1473</v>
      </c>
      <c r="M323" s="12"/>
      <c r="N323" s="12"/>
      <c r="O323" s="12"/>
      <c r="P323" s="12"/>
      <c r="Q323" s="12"/>
      <c r="R323" s="12"/>
      <c r="S323" s="8" t="s">
        <v>1960</v>
      </c>
      <c r="T323" s="8"/>
      <c r="U323" s="8"/>
      <c r="V323" s="8" t="s">
        <v>1475</v>
      </c>
      <c r="W323" s="8" t="s">
        <v>1476</v>
      </c>
      <c r="X323" s="8"/>
      <c r="Y323" s="8"/>
      <c r="Z323" s="7" t="s">
        <v>105</v>
      </c>
      <c r="AA323" s="8" t="s">
        <v>106</v>
      </c>
      <c r="AB323" s="9" t="n">
        <v>240</v>
      </c>
      <c r="AC323" s="8" t="s">
        <v>1961</v>
      </c>
    </row>
    <row r="324" customFormat="false" ht="61.5" hidden="false" customHeight="true" outlineLevel="0" collapsed="false">
      <c r="A324" s="12" t="s">
        <v>1962</v>
      </c>
      <c r="B324" s="8" t="s">
        <v>188</v>
      </c>
      <c r="C324" s="8" t="s">
        <v>1945</v>
      </c>
      <c r="D324" s="8" t="s">
        <v>1963</v>
      </c>
      <c r="E324" s="8" t="s">
        <v>1964</v>
      </c>
      <c r="F324" s="8" t="s">
        <v>1965</v>
      </c>
      <c r="G324" s="8" t="s">
        <v>193</v>
      </c>
      <c r="H324" s="8" t="s">
        <v>1471</v>
      </c>
      <c r="I324" s="12" t="n">
        <v>0</v>
      </c>
      <c r="J324" s="12" t="n">
        <v>0</v>
      </c>
      <c r="K324" s="8" t="s">
        <v>1472</v>
      </c>
      <c r="L324" s="8" t="s">
        <v>1473</v>
      </c>
      <c r="M324" s="12"/>
      <c r="N324" s="12"/>
      <c r="O324" s="12"/>
      <c r="P324" s="12"/>
      <c r="Q324" s="12"/>
      <c r="R324" s="12"/>
      <c r="S324" s="8" t="s">
        <v>1966</v>
      </c>
      <c r="T324" s="8"/>
      <c r="U324" s="8"/>
      <c r="V324" s="8" t="s">
        <v>1475</v>
      </c>
      <c r="W324" s="8" t="s">
        <v>1476</v>
      </c>
      <c r="X324" s="8"/>
      <c r="Y324" s="8"/>
      <c r="Z324" s="7" t="s">
        <v>105</v>
      </c>
      <c r="AA324" s="8" t="s">
        <v>106</v>
      </c>
      <c r="AB324" s="9" t="n">
        <v>241</v>
      </c>
      <c r="AC324" s="8" t="s">
        <v>1967</v>
      </c>
    </row>
    <row r="325" customFormat="false" ht="61.5" hidden="false" customHeight="true" outlineLevel="0" collapsed="false">
      <c r="A325" s="12" t="s">
        <v>1968</v>
      </c>
      <c r="B325" s="8" t="s">
        <v>188</v>
      </c>
      <c r="C325" s="8" t="s">
        <v>1945</v>
      </c>
      <c r="D325" s="8" t="s">
        <v>1969</v>
      </c>
      <c r="E325" s="8" t="s">
        <v>1970</v>
      </c>
      <c r="F325" s="8" t="s">
        <v>1971</v>
      </c>
      <c r="G325" s="8" t="s">
        <v>193</v>
      </c>
      <c r="H325" s="8" t="s">
        <v>1471</v>
      </c>
      <c r="I325" s="12" t="n">
        <v>0</v>
      </c>
      <c r="J325" s="12" t="n">
        <v>0</v>
      </c>
      <c r="K325" s="8" t="s">
        <v>1472</v>
      </c>
      <c r="L325" s="8" t="s">
        <v>1473</v>
      </c>
      <c r="M325" s="12"/>
      <c r="N325" s="12"/>
      <c r="O325" s="12"/>
      <c r="P325" s="12"/>
      <c r="Q325" s="12"/>
      <c r="R325" s="12"/>
      <c r="S325" s="8" t="s">
        <v>1972</v>
      </c>
      <c r="T325" s="8"/>
      <c r="U325" s="8"/>
      <c r="V325" s="8" t="s">
        <v>1475</v>
      </c>
      <c r="W325" s="8" t="s">
        <v>1476</v>
      </c>
      <c r="X325" s="8"/>
      <c r="Y325" s="8"/>
      <c r="Z325" s="7" t="s">
        <v>105</v>
      </c>
      <c r="AA325" s="8" t="s">
        <v>106</v>
      </c>
      <c r="AB325" s="9" t="n">
        <v>242</v>
      </c>
      <c r="AC325" s="8" t="s">
        <v>1973</v>
      </c>
    </row>
    <row r="326" customFormat="false" ht="61.5" hidden="false" customHeight="true" outlineLevel="0" collapsed="false">
      <c r="A326" s="12" t="s">
        <v>1974</v>
      </c>
      <c r="B326" s="8" t="s">
        <v>188</v>
      </c>
      <c r="C326" s="8" t="s">
        <v>1945</v>
      </c>
      <c r="D326" s="8" t="s">
        <v>27</v>
      </c>
      <c r="E326" s="8" t="s">
        <v>1975</v>
      </c>
      <c r="F326" s="8" t="s">
        <v>1976</v>
      </c>
      <c r="G326" s="8" t="s">
        <v>193</v>
      </c>
      <c r="H326" s="8" t="s">
        <v>1471</v>
      </c>
      <c r="I326" s="12" t="n">
        <v>0</v>
      </c>
      <c r="J326" s="12" t="n">
        <v>0</v>
      </c>
      <c r="K326" s="8" t="s">
        <v>1472</v>
      </c>
      <c r="L326" s="8" t="s">
        <v>1473</v>
      </c>
      <c r="M326" s="12"/>
      <c r="N326" s="12"/>
      <c r="O326" s="12"/>
      <c r="P326" s="12"/>
      <c r="Q326" s="12"/>
      <c r="R326" s="12"/>
      <c r="S326" s="8" t="s">
        <v>1977</v>
      </c>
      <c r="T326" s="8"/>
      <c r="U326" s="8"/>
      <c r="V326" s="8" t="s">
        <v>1475</v>
      </c>
      <c r="W326" s="8" t="s">
        <v>1476</v>
      </c>
      <c r="X326" s="8"/>
      <c r="Y326" s="8"/>
      <c r="Z326" s="7" t="s">
        <v>105</v>
      </c>
      <c r="AA326" s="8" t="s">
        <v>106</v>
      </c>
      <c r="AB326" s="9" t="n">
        <v>243</v>
      </c>
      <c r="AC326" s="8" t="s">
        <v>1968</v>
      </c>
    </row>
  </sheetData>
  <autoFilter ref="A3:AC326"/>
  <mergeCells count="1">
    <mergeCell ref="A1:L1"/>
  </mergeCells>
  <conditionalFormatting sqref="M4:R326">
    <cfRule type="cellIs" priority="2" operator="equal" aboveAverage="0" equalAverage="0" bottom="0" percent="0" rank="0" text="" dxfId="9">
      <formula>"M"</formula>
    </cfRule>
    <cfRule type="cellIs" priority="3" operator="equal" aboveAverage="0" equalAverage="0" bottom="0" percent="0" rank="0" text="" dxfId="10">
      <formula>"S"</formula>
    </cfRule>
    <cfRule type="cellIs" priority="4" operator="equal" aboveAverage="0" equalAverage="0" bottom="0" percent="0" rank="0" text="" dxfId="11">
      <formula>"C"</formula>
    </cfRule>
    <cfRule type="cellIs" priority="5" operator="equal" aboveAverage="0" equalAverage="0" bottom="0" percent="0" rank="0" text="" dxfId="12">
      <formula>"E"</formula>
    </cfRule>
  </conditionalFormatting>
  <conditionalFormatting sqref="H4:H326">
    <cfRule type="cellIs" priority="6" operator="equal" aboveAverage="0" equalAverage="0" bottom="0" percent="0" rank="0" text="" dxfId="9">
      <formula>"Must Have"</formula>
    </cfRule>
    <cfRule type="cellIs" priority="7" operator="equal" aboveAverage="0" equalAverage="0" bottom="0" percent="0" rank="0" text="" dxfId="10">
      <formula>"Should Have"</formula>
    </cfRule>
    <cfRule type="cellIs" priority="8" operator="equal" aboveAverage="0" equalAverage="0" bottom="0" percent="0" rank="0" text="" dxfId="11">
      <formula>"Could Have"</formula>
    </cfRule>
    <cfRule type="cellIs" priority="9" operator="equal" aboveAverage="0" equalAverage="0" bottom="0" percent="0" rank="0" text="" dxfId="12">
      <formula>"Stated – no priority"</formula>
    </cfRule>
    <cfRule type="cellIs" priority="10" operator="equal" aboveAverage="0" equalAverage="0" bottom="0" percent="0" rank="0" text="" dxfId="13">
      <formula>"Aurigo-only (no RFP source)"</formula>
    </cfRule>
  </conditionalFormatting>
  <conditionalFormatting sqref="V4:V326">
    <cfRule type="cellIs" priority="11" operator="equal" aboveAverage="0" equalAverage="0" bottom="0" percent="0" rank="0" text="" dxfId="11">
      <formula>"Covered (SOW)"</formula>
    </cfRule>
    <cfRule type="cellIs" priority="12" operator="equal" aboveAverage="0" equalAverage="0" bottom="0" percent="0" rank="0" text="" dxfId="10">
      <formula>"Partial"</formula>
    </cfRule>
    <cfRule type="cellIs" priority="13" operator="equal" aboveAverage="0" equalAverage="0" bottom="0" percent="0" rank="0" text="" dxfId="12">
      <formula>"Platform / demo only"</formula>
    </cfRule>
    <cfRule type="cellIs" priority="14" operator="equal" aboveAverage="0" equalAverage="0" bottom="0" percent="0" rank="0" text="" dxfId="14">
      <formula>"Not evidenced"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4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5" ySplit="3" topLeftCell="F4" activePane="bottomRight" state="frozen"/>
      <selection pane="topLeft" activeCell="A1" activeCellId="0" sqref="A1"/>
      <selection pane="topRight" activeCell="F1" activeCellId="0" sqref="F1"/>
      <selection pane="bottomLeft" activeCell="A4" activeCellId="0" sqref="A4"/>
      <selection pane="bottomRight" activeCell="A1" activeCellId="0" sqref="A1"/>
    </sheetView>
  </sheetViews>
  <sheetFormatPr defaultColWidth="8.6328125" defaultRowHeight="14.25" zeroHeight="false" outlineLevelRow="0" outlineLevelCol="0"/>
  <cols>
    <col collapsed="false" customWidth="true" hidden="false" outlineLevel="0" max="1" min="1" style="0" width="9"/>
    <col collapsed="false" customWidth="true" hidden="false" outlineLevel="0" max="2" min="2" style="0" width="16"/>
    <col collapsed="false" customWidth="true" hidden="false" outlineLevel="0" max="3" min="3" style="0" width="24"/>
    <col collapsed="false" customWidth="true" hidden="false" outlineLevel="0" max="4" min="4" style="0" width="18"/>
    <col collapsed="false" customWidth="true" hidden="false" outlineLevel="0" max="5" min="5" style="0" width="36"/>
    <col collapsed="false" customWidth="true" hidden="false" outlineLevel="0" max="6" min="6" style="0" width="66"/>
    <col collapsed="false" customWidth="true" hidden="false" outlineLevel="0" max="7" min="7" style="0" width="13"/>
    <col collapsed="false" customWidth="true" hidden="false" outlineLevel="0" max="8" min="8" style="0" width="17"/>
    <col collapsed="false" customWidth="true" hidden="false" outlineLevel="0" max="9" min="9" style="0" width="9"/>
    <col collapsed="false" customWidth="true" hidden="false" outlineLevel="0" max="10" min="10" style="0" width="10"/>
    <col collapsed="false" customWidth="true" hidden="false" outlineLevel="0" max="11" min="11" style="0" width="14"/>
    <col collapsed="false" customWidth="true" hidden="false" outlineLevel="0" max="12" min="12" style="0" width="22"/>
    <col collapsed="false" customWidth="true" hidden="false" outlineLevel="0" max="22" min="13" style="0" width="6"/>
    <col collapsed="false" customWidth="true" hidden="false" outlineLevel="0" max="23" min="23" style="0" width="70"/>
    <col collapsed="false" customWidth="true" hidden="false" outlineLevel="0" max="24" min="24" style="0" width="24"/>
    <col collapsed="false" customWidth="true" hidden="false" outlineLevel="0" max="25" min="25" style="0" width="48"/>
  </cols>
  <sheetData>
    <row r="1" customFormat="false" ht="15" hidden="false" customHeight="true" outlineLevel="0" collapsed="false">
      <c r="A1" s="13" t="s">
        <v>1978</v>
      </c>
      <c r="B1" s="13"/>
      <c r="C1" s="13"/>
      <c r="D1" s="13"/>
      <c r="E1" s="13"/>
      <c r="F1" s="13"/>
      <c r="G1" s="13"/>
      <c r="H1" s="13"/>
      <c r="I1" s="13"/>
      <c r="J1" s="13"/>
      <c r="K1" s="13"/>
      <c r="L1" s="13"/>
    </row>
    <row r="2" customFormat="false" ht="48" hidden="false" customHeight="true" outlineLevel="0" collapsed="false">
      <c r="A2" s="14" t="s">
        <v>1979</v>
      </c>
      <c r="B2" s="14"/>
      <c r="C2" s="14"/>
      <c r="D2" s="14"/>
      <c r="E2" s="14"/>
      <c r="F2" s="14"/>
      <c r="G2" s="14"/>
      <c r="H2" s="14"/>
      <c r="I2" s="14"/>
      <c r="J2" s="14"/>
      <c r="K2" s="14"/>
      <c r="L2" s="14"/>
    </row>
    <row r="3" customFormat="false" ht="42" hidden="false" customHeight="true" outlineLevel="0" collapsed="false">
      <c r="A3" s="15" t="s">
        <v>160</v>
      </c>
      <c r="B3" s="15" t="s">
        <v>1980</v>
      </c>
      <c r="C3" s="15" t="s">
        <v>162</v>
      </c>
      <c r="D3" s="15" t="s">
        <v>163</v>
      </c>
      <c r="E3" s="15" t="s">
        <v>164</v>
      </c>
      <c r="F3" s="15" t="s">
        <v>165</v>
      </c>
      <c r="G3" s="15" t="s">
        <v>166</v>
      </c>
      <c r="H3" s="15" t="s">
        <v>167</v>
      </c>
      <c r="I3" s="15" t="s">
        <v>168</v>
      </c>
      <c r="J3" s="15" t="s">
        <v>169</v>
      </c>
      <c r="K3" s="15" t="s">
        <v>170</v>
      </c>
      <c r="L3" s="15" t="s">
        <v>11</v>
      </c>
      <c r="M3" s="15" t="s">
        <v>171</v>
      </c>
      <c r="N3" s="15" t="s">
        <v>172</v>
      </c>
      <c r="O3" s="15" t="s">
        <v>173</v>
      </c>
      <c r="P3" s="15" t="s">
        <v>174</v>
      </c>
      <c r="Q3" s="15" t="s">
        <v>175</v>
      </c>
      <c r="R3" s="15" t="s">
        <v>176</v>
      </c>
      <c r="S3" s="15" t="s">
        <v>1981</v>
      </c>
      <c r="T3" s="15" t="s">
        <v>1982</v>
      </c>
      <c r="U3" s="15" t="s">
        <v>1983</v>
      </c>
      <c r="V3" s="15" t="s">
        <v>1984</v>
      </c>
      <c r="W3" s="15" t="s">
        <v>177</v>
      </c>
      <c r="X3" s="15" t="s">
        <v>179</v>
      </c>
      <c r="Y3" s="15" t="s">
        <v>182</v>
      </c>
    </row>
    <row r="4" customFormat="false" ht="87" hidden="false" customHeight="true" outlineLevel="0" collapsed="false">
      <c r="A4" s="12" t="s">
        <v>1985</v>
      </c>
      <c r="B4" s="12" t="s">
        <v>1986</v>
      </c>
      <c r="C4" s="8" t="s">
        <v>1987</v>
      </c>
      <c r="D4" s="8" t="s">
        <v>1988</v>
      </c>
      <c r="E4" s="8" t="s">
        <v>1989</v>
      </c>
      <c r="F4" s="8" t="s">
        <v>1990</v>
      </c>
      <c r="G4" s="8" t="s">
        <v>193</v>
      </c>
      <c r="H4" s="8" t="str">
        <f aca="false">IF(COUNTIF(M4:V4,"M")&gt;0,"Must Have",IF(COUNTIF(M4:V4,"S")&gt;0,"Should Have",IF(COUNTIF(M4:V4,"C")&gt;0,"Could Have",IF(COUNTA(M4:V4)&gt;0,"Stated – no priority","Aurigo-only (no RFP source)"))))</f>
        <v>Must Have</v>
      </c>
      <c r="I4" s="12" t="n">
        <f aca="false">COUNTA(M4:V4)</f>
        <v>4</v>
      </c>
      <c r="J4" s="12" t="n">
        <f aca="false">COUNTIF(M4:V4,"M")</f>
        <v>2</v>
      </c>
      <c r="K4" s="8" t="str">
        <f aca="false">IF(I4=0,"Aurigo-only",IF(I4=1,"Single source",IF(I4=2,"Two sources",IF(I4&lt;=4,"Common (3-4)","Broad (5+)"))))</f>
        <v>Common (3-4)</v>
      </c>
      <c r="L4" s="8" t="str">
        <f aca="false">IF(J4&gt;=3,"Tier 1: Must in 3+ sources",IF(J4=2,"Tier 2: Must in 2 sources",IF(J4=1,"Tier 3: Must in 1 source",IF(COUNTIF(M4:V4,"S")&gt;0,"Tier 4: Should only",IF(COUNTIF(M4:V4,"C")&gt;0,"Tier 5: Could only",IF(I4&gt;0,"Tier 6: stated, no priority","Aurigo-only"))))))</f>
        <v>Tier 2: Must in 2 sources</v>
      </c>
      <c r="M4" s="12"/>
      <c r="N4" s="12"/>
      <c r="O4" s="12"/>
      <c r="P4" s="12"/>
      <c r="Q4" s="12"/>
      <c r="R4" s="12"/>
      <c r="S4" s="12" t="s">
        <v>195</v>
      </c>
      <c r="T4" s="12" t="s">
        <v>195</v>
      </c>
      <c r="U4" s="12" t="s">
        <v>194</v>
      </c>
      <c r="V4" s="12" t="s">
        <v>194</v>
      </c>
      <c r="W4" s="8" t="s">
        <v>1991</v>
      </c>
      <c r="X4" s="8"/>
      <c r="Y4" s="8" t="s">
        <v>1992</v>
      </c>
    </row>
    <row r="5" customFormat="false" ht="62.25" hidden="false" customHeight="true" outlineLevel="0" collapsed="false">
      <c r="A5" s="12" t="s">
        <v>1993</v>
      </c>
      <c r="B5" s="12" t="s">
        <v>1986</v>
      </c>
      <c r="C5" s="8" t="s">
        <v>1987</v>
      </c>
      <c r="D5" s="8" t="s">
        <v>1988</v>
      </c>
      <c r="E5" s="8" t="s">
        <v>1994</v>
      </c>
      <c r="F5" s="8" t="s">
        <v>1995</v>
      </c>
      <c r="G5" s="8" t="s">
        <v>193</v>
      </c>
      <c r="H5" s="8" t="str">
        <f aca="false">IF(COUNTIF(M5:V5,"M")&gt;0,"Must Have",IF(COUNTIF(M5:V5,"S")&gt;0,"Should Have",IF(COUNTIF(M5:V5,"C")&gt;0,"Could Have",IF(COUNTA(M5:V5)&gt;0,"Stated – no priority","Aurigo-only (no RFP source)"))))</f>
        <v>Must Have</v>
      </c>
      <c r="I5" s="12" t="n">
        <f aca="false">COUNTA(M5:V5)</f>
        <v>2</v>
      </c>
      <c r="J5" s="12" t="n">
        <f aca="false">COUNTIF(M5:V5,"M")</f>
        <v>1</v>
      </c>
      <c r="K5" s="8" t="str">
        <f aca="false">IF(I5=0,"Aurigo-only",IF(I5=1,"Single source",IF(I5=2,"Two sources",IF(I5&lt;=4,"Common (3-4)","Broad (5+)"))))</f>
        <v>Two sources</v>
      </c>
      <c r="L5" s="8" t="str">
        <f aca="false">IF(J5&gt;=3,"Tier 1: Must in 3+ sources",IF(J5=2,"Tier 2: Must in 2 sources",IF(J5=1,"Tier 3: Must in 1 source",IF(COUNTIF(M5:V5,"S")&gt;0,"Tier 4: Should only",IF(COUNTIF(M5:V5,"C")&gt;0,"Tier 5: Could only",IF(I5&gt;0,"Tier 6: stated, no priority","Aurigo-only"))))))</f>
        <v>Tier 3: Must in 1 source</v>
      </c>
      <c r="M5" s="12"/>
      <c r="N5" s="12"/>
      <c r="O5" s="12"/>
      <c r="P5" s="12"/>
      <c r="Q5" s="12"/>
      <c r="R5" s="12"/>
      <c r="S5" s="12"/>
      <c r="T5" s="12" t="s">
        <v>195</v>
      </c>
      <c r="U5" s="12" t="s">
        <v>194</v>
      </c>
      <c r="V5" s="12"/>
      <c r="W5" s="8" t="s">
        <v>1996</v>
      </c>
      <c r="X5" s="8"/>
      <c r="Y5" s="8"/>
    </row>
    <row r="6" customFormat="false" ht="75" hidden="false" customHeight="true" outlineLevel="0" collapsed="false">
      <c r="A6" s="12" t="s">
        <v>1997</v>
      </c>
      <c r="B6" s="12" t="s">
        <v>1986</v>
      </c>
      <c r="C6" s="8" t="s">
        <v>1987</v>
      </c>
      <c r="D6" s="8" t="s">
        <v>1988</v>
      </c>
      <c r="E6" s="8" t="s">
        <v>1998</v>
      </c>
      <c r="F6" s="8" t="s">
        <v>1999</v>
      </c>
      <c r="G6" s="8" t="s">
        <v>193</v>
      </c>
      <c r="H6" s="8" t="str">
        <f aca="false">IF(COUNTIF(M6:V6,"M")&gt;0,"Must Have",IF(COUNTIF(M6:V6,"S")&gt;0,"Should Have",IF(COUNTIF(M6:V6,"C")&gt;0,"Could Have",IF(COUNTA(M6:V6)&gt;0,"Stated – no priority","Aurigo-only (no RFP source)"))))</f>
        <v>Must Have</v>
      </c>
      <c r="I6" s="12" t="n">
        <f aca="false">COUNTA(M6:V6)</f>
        <v>2</v>
      </c>
      <c r="J6" s="12" t="n">
        <f aca="false">COUNTIF(M6:V6,"M")</f>
        <v>1</v>
      </c>
      <c r="K6" s="8" t="str">
        <f aca="false">IF(I6=0,"Aurigo-only",IF(I6=1,"Single source",IF(I6=2,"Two sources",IF(I6&lt;=4,"Common (3-4)","Broad (5+)"))))</f>
        <v>Two sources</v>
      </c>
      <c r="L6" s="8" t="str">
        <f aca="false">IF(J6&gt;=3,"Tier 1: Must in 3+ sources",IF(J6=2,"Tier 2: Must in 2 sources",IF(J6=1,"Tier 3: Must in 1 source",IF(COUNTIF(M6:V6,"S")&gt;0,"Tier 4: Should only",IF(COUNTIF(M6:V6,"C")&gt;0,"Tier 5: Could only",IF(I6&gt;0,"Tier 6: stated, no priority","Aurigo-only"))))))</f>
        <v>Tier 3: Must in 1 source</v>
      </c>
      <c r="M6" s="12"/>
      <c r="N6" s="12"/>
      <c r="O6" s="12"/>
      <c r="P6" s="12"/>
      <c r="Q6" s="12"/>
      <c r="R6" s="12"/>
      <c r="S6" s="12"/>
      <c r="T6" s="12" t="s">
        <v>195</v>
      </c>
      <c r="U6" s="12" t="s">
        <v>194</v>
      </c>
      <c r="V6" s="12"/>
      <c r="W6" s="8" t="s">
        <v>2000</v>
      </c>
      <c r="X6" s="8"/>
      <c r="Y6" s="8"/>
    </row>
    <row r="7" customFormat="false" ht="87" hidden="false" customHeight="true" outlineLevel="0" collapsed="false">
      <c r="A7" s="12" t="s">
        <v>2001</v>
      </c>
      <c r="B7" s="12" t="s">
        <v>1986</v>
      </c>
      <c r="C7" s="8" t="s">
        <v>1987</v>
      </c>
      <c r="D7" s="8" t="s">
        <v>2002</v>
      </c>
      <c r="E7" s="8" t="s">
        <v>2003</v>
      </c>
      <c r="F7" s="8" t="s">
        <v>2004</v>
      </c>
      <c r="G7" s="8" t="s">
        <v>193</v>
      </c>
      <c r="H7" s="8" t="str">
        <f aca="false">IF(COUNTIF(M7:V7,"M")&gt;0,"Must Have",IF(COUNTIF(M7:V7,"S")&gt;0,"Should Have",IF(COUNTIF(M7:V7,"C")&gt;0,"Could Have",IF(COUNTA(M7:V7)&gt;0,"Stated – no priority","Aurigo-only (no RFP source)"))))</f>
        <v>Must Have</v>
      </c>
      <c r="I7" s="12" t="n">
        <f aca="false">COUNTA(M7:V7)</f>
        <v>2</v>
      </c>
      <c r="J7" s="12" t="n">
        <f aca="false">COUNTIF(M7:V7,"M")</f>
        <v>1</v>
      </c>
      <c r="K7" s="8" t="str">
        <f aca="false">IF(I7=0,"Aurigo-only",IF(I7=1,"Single source",IF(I7=2,"Two sources",IF(I7&lt;=4,"Common (3-4)","Broad (5+)"))))</f>
        <v>Two sources</v>
      </c>
      <c r="L7" s="8" t="str">
        <f aca="false">IF(J7&gt;=3,"Tier 1: Must in 3+ sources",IF(J7=2,"Tier 2: Must in 2 sources",IF(J7=1,"Tier 3: Must in 1 source",IF(COUNTIF(M7:V7,"S")&gt;0,"Tier 4: Should only",IF(COUNTIF(M7:V7,"C")&gt;0,"Tier 5: Could only",IF(I7&gt;0,"Tier 6: stated, no priority","Aurigo-only"))))))</f>
        <v>Tier 3: Must in 1 source</v>
      </c>
      <c r="M7" s="12"/>
      <c r="N7" s="12"/>
      <c r="O7" s="12"/>
      <c r="P7" s="12"/>
      <c r="Q7" s="12"/>
      <c r="R7" s="12"/>
      <c r="S7" s="12"/>
      <c r="T7" s="12" t="s">
        <v>195</v>
      </c>
      <c r="U7" s="12" t="s">
        <v>194</v>
      </c>
      <c r="V7" s="12"/>
      <c r="W7" s="8" t="s">
        <v>2005</v>
      </c>
      <c r="X7" s="8" t="s">
        <v>2006</v>
      </c>
      <c r="Y7" s="8"/>
    </row>
    <row r="8" customFormat="false" ht="37.5" hidden="false" customHeight="true" outlineLevel="0" collapsed="false">
      <c r="A8" s="12" t="s">
        <v>2007</v>
      </c>
      <c r="B8" s="12" t="s">
        <v>1986</v>
      </c>
      <c r="C8" s="8" t="s">
        <v>1987</v>
      </c>
      <c r="D8" s="8" t="s">
        <v>1988</v>
      </c>
      <c r="E8" s="8" t="s">
        <v>2008</v>
      </c>
      <c r="F8" s="8" t="s">
        <v>2009</v>
      </c>
      <c r="G8" s="8" t="s">
        <v>193</v>
      </c>
      <c r="H8" s="8" t="str">
        <f aca="false">IF(COUNTIF(M8:V8,"M")&gt;0,"Must Have",IF(COUNTIF(M8:V8,"S")&gt;0,"Should Have",IF(COUNTIF(M8:V8,"C")&gt;0,"Could Have",IF(COUNTA(M8:V8)&gt;0,"Stated – no priority","Aurigo-only (no RFP source)"))))</f>
        <v>Must Have</v>
      </c>
      <c r="I8" s="12" t="n">
        <f aca="false">COUNTA(M8:V8)</f>
        <v>1</v>
      </c>
      <c r="J8" s="12" t="n">
        <f aca="false">COUNTIF(M8:V8,"M")</f>
        <v>1</v>
      </c>
      <c r="K8" s="8" t="str">
        <f aca="false">IF(I8=0,"Aurigo-only",IF(I8=1,"Single source",IF(I8=2,"Two sources",IF(I8&lt;=4,"Common (3-4)","Broad (5+)"))))</f>
        <v>Single source</v>
      </c>
      <c r="L8" s="8" t="str">
        <f aca="false">IF(J8&gt;=3,"Tier 1: Must in 3+ sources",IF(J8=2,"Tier 2: Must in 2 sources",IF(J8=1,"Tier 3: Must in 1 source",IF(COUNTIF(M8:V8,"S")&gt;0,"Tier 4: Should only",IF(COUNTIF(M8:V8,"C")&gt;0,"Tier 5: Could only",IF(I8&gt;0,"Tier 6: stated, no priority","Aurigo-only"))))))</f>
        <v>Tier 3: Must in 1 source</v>
      </c>
      <c r="M8" s="12"/>
      <c r="N8" s="12"/>
      <c r="O8" s="12"/>
      <c r="P8" s="12"/>
      <c r="Q8" s="12"/>
      <c r="R8" s="12"/>
      <c r="S8" s="12"/>
      <c r="T8" s="12"/>
      <c r="U8" s="12" t="s">
        <v>194</v>
      </c>
      <c r="V8" s="12"/>
      <c r="W8" s="8" t="s">
        <v>2010</v>
      </c>
      <c r="X8" s="8"/>
      <c r="Y8" s="8"/>
    </row>
    <row r="9" customFormat="false" ht="37.5" hidden="false" customHeight="true" outlineLevel="0" collapsed="false">
      <c r="A9" s="12" t="s">
        <v>2011</v>
      </c>
      <c r="B9" s="12" t="s">
        <v>1986</v>
      </c>
      <c r="C9" s="8" t="s">
        <v>1987</v>
      </c>
      <c r="D9" s="8" t="s">
        <v>1988</v>
      </c>
      <c r="E9" s="8" t="s">
        <v>2012</v>
      </c>
      <c r="F9" s="8" t="s">
        <v>2013</v>
      </c>
      <c r="G9" s="8" t="s">
        <v>193</v>
      </c>
      <c r="H9" s="8" t="str">
        <f aca="false">IF(COUNTIF(M9:V9,"M")&gt;0,"Must Have",IF(COUNTIF(M9:V9,"S")&gt;0,"Should Have",IF(COUNTIF(M9:V9,"C")&gt;0,"Could Have",IF(COUNTA(M9:V9)&gt;0,"Stated – no priority","Aurigo-only (no RFP source)"))))</f>
        <v>Must Have</v>
      </c>
      <c r="I9" s="12" t="n">
        <f aca="false">COUNTA(M9:V9)</f>
        <v>1</v>
      </c>
      <c r="J9" s="12" t="n">
        <f aca="false">COUNTIF(M9:V9,"M")</f>
        <v>1</v>
      </c>
      <c r="K9" s="8" t="str">
        <f aca="false">IF(I9=0,"Aurigo-only",IF(I9=1,"Single source",IF(I9=2,"Two sources",IF(I9&lt;=4,"Common (3-4)","Broad (5+)"))))</f>
        <v>Single source</v>
      </c>
      <c r="L9" s="8" t="str">
        <f aca="false">IF(J9&gt;=3,"Tier 1: Must in 3+ sources",IF(J9=2,"Tier 2: Must in 2 sources",IF(J9=1,"Tier 3: Must in 1 source",IF(COUNTIF(M9:V9,"S")&gt;0,"Tier 4: Should only",IF(COUNTIF(M9:V9,"C")&gt;0,"Tier 5: Could only",IF(I9&gt;0,"Tier 6: stated, no priority","Aurigo-only"))))))</f>
        <v>Tier 3: Must in 1 source</v>
      </c>
      <c r="M9" s="12"/>
      <c r="N9" s="12"/>
      <c r="O9" s="12"/>
      <c r="P9" s="12"/>
      <c r="Q9" s="12"/>
      <c r="R9" s="12"/>
      <c r="S9" s="12"/>
      <c r="T9" s="12"/>
      <c r="U9" s="12" t="s">
        <v>194</v>
      </c>
      <c r="V9" s="12"/>
      <c r="W9" s="8" t="s">
        <v>2014</v>
      </c>
      <c r="X9" s="8"/>
      <c r="Y9" s="8"/>
    </row>
    <row r="10" customFormat="false" ht="37.5" hidden="false" customHeight="true" outlineLevel="0" collapsed="false">
      <c r="A10" s="12" t="s">
        <v>2015</v>
      </c>
      <c r="B10" s="12" t="s">
        <v>1986</v>
      </c>
      <c r="C10" s="8" t="s">
        <v>1987</v>
      </c>
      <c r="D10" s="8" t="s">
        <v>1988</v>
      </c>
      <c r="E10" s="8" t="s">
        <v>2016</v>
      </c>
      <c r="F10" s="8" t="s">
        <v>2017</v>
      </c>
      <c r="G10" s="8" t="s">
        <v>193</v>
      </c>
      <c r="H10" s="8" t="str">
        <f aca="false">IF(COUNTIF(M10:V10,"M")&gt;0,"Must Have",IF(COUNTIF(M10:V10,"S")&gt;0,"Should Have",IF(COUNTIF(M10:V10,"C")&gt;0,"Could Have",IF(COUNTA(M10:V10)&gt;0,"Stated – no priority","Aurigo-only (no RFP source)"))))</f>
        <v>Could Have</v>
      </c>
      <c r="I10" s="12" t="n">
        <f aca="false">COUNTA(M10:V10)</f>
        <v>1</v>
      </c>
      <c r="J10" s="12" t="n">
        <f aca="false">COUNTIF(M10:V10,"M")</f>
        <v>0</v>
      </c>
      <c r="K10" s="8" t="str">
        <f aca="false">IF(I10=0,"Aurigo-only",IF(I10=1,"Single source",IF(I10=2,"Two sources",IF(I10&lt;=4,"Common (3-4)","Broad (5+)"))))</f>
        <v>Single source</v>
      </c>
      <c r="L10" s="8" t="str">
        <f aca="false">IF(J10&gt;=3,"Tier 1: Must in 3+ sources",IF(J10=2,"Tier 2: Must in 2 sources",IF(J10=1,"Tier 3: Must in 1 source",IF(COUNTIF(M10:V10,"S")&gt;0,"Tier 4: Should only",IF(COUNTIF(M10:V10,"C")&gt;0,"Tier 5: Could only",IF(I10&gt;0,"Tier 6: stated, no priority","Aurigo-only"))))))</f>
        <v>Tier 5: Could only</v>
      </c>
      <c r="M10" s="12"/>
      <c r="N10" s="12"/>
      <c r="O10" s="12"/>
      <c r="P10" s="12"/>
      <c r="Q10" s="12"/>
      <c r="R10" s="12"/>
      <c r="S10" s="12"/>
      <c r="T10" s="12"/>
      <c r="U10" s="12" t="s">
        <v>810</v>
      </c>
      <c r="V10" s="12"/>
      <c r="W10" s="8" t="s">
        <v>2018</v>
      </c>
      <c r="X10" s="8"/>
      <c r="Y10" s="8"/>
    </row>
    <row r="11" customFormat="false" ht="37.5" hidden="false" customHeight="true" outlineLevel="0" collapsed="false">
      <c r="A11" s="12" t="s">
        <v>2019</v>
      </c>
      <c r="B11" s="12" t="s">
        <v>1986</v>
      </c>
      <c r="C11" s="8" t="s">
        <v>1987</v>
      </c>
      <c r="D11" s="8" t="s">
        <v>1988</v>
      </c>
      <c r="E11" s="8" t="s">
        <v>2020</v>
      </c>
      <c r="F11" s="8" t="s">
        <v>2021</v>
      </c>
      <c r="G11" s="8" t="s">
        <v>193</v>
      </c>
      <c r="H11" s="8" t="str">
        <f aca="false">IF(COUNTIF(M11:V11,"M")&gt;0,"Must Have",IF(COUNTIF(M11:V11,"S")&gt;0,"Should Have",IF(COUNTIF(M11:V11,"C")&gt;0,"Could Have",IF(COUNTA(M11:V11)&gt;0,"Stated – no priority","Aurigo-only (no RFP source)"))))</f>
        <v>Could Have</v>
      </c>
      <c r="I11" s="12" t="n">
        <f aca="false">COUNTA(M11:V11)</f>
        <v>1</v>
      </c>
      <c r="J11" s="12" t="n">
        <f aca="false">COUNTIF(M11:V11,"M")</f>
        <v>0</v>
      </c>
      <c r="K11" s="8" t="str">
        <f aca="false">IF(I11=0,"Aurigo-only",IF(I11=1,"Single source",IF(I11=2,"Two sources",IF(I11&lt;=4,"Common (3-4)","Broad (5+)"))))</f>
        <v>Single source</v>
      </c>
      <c r="L11" s="8" t="str">
        <f aca="false">IF(J11&gt;=3,"Tier 1: Must in 3+ sources",IF(J11=2,"Tier 2: Must in 2 sources",IF(J11=1,"Tier 3: Must in 1 source",IF(COUNTIF(M11:V11,"S")&gt;0,"Tier 4: Should only",IF(COUNTIF(M11:V11,"C")&gt;0,"Tier 5: Could only",IF(I11&gt;0,"Tier 6: stated, no priority","Aurigo-only"))))))</f>
        <v>Tier 5: Could only</v>
      </c>
      <c r="M11" s="12"/>
      <c r="N11" s="12"/>
      <c r="O11" s="12"/>
      <c r="P11" s="12"/>
      <c r="Q11" s="12"/>
      <c r="R11" s="12"/>
      <c r="S11" s="12"/>
      <c r="T11" s="12"/>
      <c r="U11" s="12" t="s">
        <v>810</v>
      </c>
      <c r="V11" s="12"/>
      <c r="W11" s="8" t="s">
        <v>2022</v>
      </c>
      <c r="X11" s="8"/>
      <c r="Y11" s="8"/>
    </row>
    <row r="12" customFormat="false" ht="37.5" hidden="false" customHeight="true" outlineLevel="0" collapsed="false">
      <c r="A12" s="12" t="s">
        <v>2023</v>
      </c>
      <c r="B12" s="12" t="s">
        <v>1986</v>
      </c>
      <c r="C12" s="8" t="s">
        <v>1987</v>
      </c>
      <c r="D12" s="8" t="s">
        <v>1988</v>
      </c>
      <c r="E12" s="8" t="s">
        <v>2024</v>
      </c>
      <c r="F12" s="8" t="s">
        <v>2025</v>
      </c>
      <c r="G12" s="8" t="s">
        <v>193</v>
      </c>
      <c r="H12" s="8" t="str">
        <f aca="false">IF(COUNTIF(M12:V12,"M")&gt;0,"Must Have",IF(COUNTIF(M12:V12,"S")&gt;0,"Should Have",IF(COUNTIF(M12:V12,"C")&gt;0,"Could Have",IF(COUNTA(M12:V12)&gt;0,"Stated – no priority","Aurigo-only (no RFP source)"))))</f>
        <v>Must Have</v>
      </c>
      <c r="I12" s="12" t="n">
        <f aca="false">COUNTA(M12:V12)</f>
        <v>1</v>
      </c>
      <c r="J12" s="12" t="n">
        <f aca="false">COUNTIF(M12:V12,"M")</f>
        <v>1</v>
      </c>
      <c r="K12" s="8" t="str">
        <f aca="false">IF(I12=0,"Aurigo-only",IF(I12=1,"Single source",IF(I12=2,"Two sources",IF(I12&lt;=4,"Common (3-4)","Broad (5+)"))))</f>
        <v>Single source</v>
      </c>
      <c r="L12" s="8" t="str">
        <f aca="false">IF(J12&gt;=3,"Tier 1: Must in 3+ sources",IF(J12=2,"Tier 2: Must in 2 sources",IF(J12=1,"Tier 3: Must in 1 source",IF(COUNTIF(M12:V12,"S")&gt;0,"Tier 4: Should only",IF(COUNTIF(M12:V12,"C")&gt;0,"Tier 5: Could only",IF(I12&gt;0,"Tier 6: stated, no priority","Aurigo-only"))))))</f>
        <v>Tier 3: Must in 1 source</v>
      </c>
      <c r="M12" s="12"/>
      <c r="N12" s="12"/>
      <c r="O12" s="12"/>
      <c r="P12" s="12"/>
      <c r="Q12" s="12"/>
      <c r="R12" s="12"/>
      <c r="S12" s="12"/>
      <c r="T12" s="12"/>
      <c r="U12" s="12" t="s">
        <v>194</v>
      </c>
      <c r="V12" s="12"/>
      <c r="W12" s="8" t="s">
        <v>2026</v>
      </c>
      <c r="X12" s="8"/>
      <c r="Y12" s="8"/>
    </row>
    <row r="13" customFormat="false" ht="62.25" hidden="false" customHeight="true" outlineLevel="0" collapsed="false">
      <c r="A13" s="12" t="s">
        <v>2027</v>
      </c>
      <c r="B13" s="12" t="s">
        <v>1986</v>
      </c>
      <c r="C13" s="8" t="s">
        <v>1987</v>
      </c>
      <c r="D13" s="8" t="s">
        <v>1988</v>
      </c>
      <c r="E13" s="8" t="s">
        <v>2028</v>
      </c>
      <c r="F13" s="8" t="s">
        <v>2029</v>
      </c>
      <c r="G13" s="8" t="s">
        <v>193</v>
      </c>
      <c r="H13" s="8" t="str">
        <f aca="false">IF(COUNTIF(M13:V13,"M")&gt;0,"Must Have",IF(COUNTIF(M13:V13,"S")&gt;0,"Should Have",IF(COUNTIF(M13:V13,"C")&gt;0,"Could Have",IF(COUNTA(M13:V13)&gt;0,"Stated – no priority","Aurigo-only (no RFP source)"))))</f>
        <v>Must Have</v>
      </c>
      <c r="I13" s="12" t="n">
        <f aca="false">COUNTA(M13:V13)</f>
        <v>1</v>
      </c>
      <c r="J13" s="12" t="n">
        <f aca="false">COUNTIF(M13:V13,"M")</f>
        <v>1</v>
      </c>
      <c r="K13" s="8" t="str">
        <f aca="false">IF(I13=0,"Aurigo-only",IF(I13=1,"Single source",IF(I13=2,"Two sources",IF(I13&lt;=4,"Common (3-4)","Broad (5+)"))))</f>
        <v>Single source</v>
      </c>
      <c r="L13" s="8" t="str">
        <f aca="false">IF(J13&gt;=3,"Tier 1: Must in 3+ sources",IF(J13=2,"Tier 2: Must in 2 sources",IF(J13=1,"Tier 3: Must in 1 source",IF(COUNTIF(M13:V13,"S")&gt;0,"Tier 4: Should only",IF(COUNTIF(M13:V13,"C")&gt;0,"Tier 5: Could only",IF(I13&gt;0,"Tier 6: stated, no priority","Aurigo-only"))))))</f>
        <v>Tier 3: Must in 1 source</v>
      </c>
      <c r="M13" s="12"/>
      <c r="N13" s="12"/>
      <c r="O13" s="12"/>
      <c r="P13" s="12"/>
      <c r="Q13" s="12"/>
      <c r="R13" s="12"/>
      <c r="S13" s="12"/>
      <c r="T13" s="12"/>
      <c r="U13" s="12" t="s">
        <v>194</v>
      </c>
      <c r="V13" s="12"/>
      <c r="W13" s="8" t="s">
        <v>2030</v>
      </c>
      <c r="X13" s="8" t="s">
        <v>2031</v>
      </c>
      <c r="Y13" s="8"/>
    </row>
    <row r="14" customFormat="false" ht="24.75" hidden="false" customHeight="true" outlineLevel="0" collapsed="false">
      <c r="A14" s="12" t="s">
        <v>2032</v>
      </c>
      <c r="B14" s="12" t="s">
        <v>1986</v>
      </c>
      <c r="C14" s="8" t="s">
        <v>1987</v>
      </c>
      <c r="D14" s="8" t="s">
        <v>1988</v>
      </c>
      <c r="E14" s="8" t="s">
        <v>2033</v>
      </c>
      <c r="F14" s="8" t="s">
        <v>2034</v>
      </c>
      <c r="G14" s="8" t="s">
        <v>193</v>
      </c>
      <c r="H14" s="8" t="str">
        <f aca="false">IF(COUNTIF(M14:V14,"M")&gt;0,"Must Have",IF(COUNTIF(M14:V14,"S")&gt;0,"Should Have",IF(COUNTIF(M14:V14,"C")&gt;0,"Could Have",IF(COUNTA(M14:V14)&gt;0,"Stated – no priority","Aurigo-only (no RFP source)"))))</f>
        <v>Must Have</v>
      </c>
      <c r="I14" s="12" t="n">
        <f aca="false">COUNTA(M14:V14)</f>
        <v>1</v>
      </c>
      <c r="J14" s="12" t="n">
        <f aca="false">COUNTIF(M14:V14,"M")</f>
        <v>1</v>
      </c>
      <c r="K14" s="8" t="str">
        <f aca="false">IF(I14=0,"Aurigo-only",IF(I14=1,"Single source",IF(I14=2,"Two sources",IF(I14&lt;=4,"Common (3-4)","Broad (5+)"))))</f>
        <v>Single source</v>
      </c>
      <c r="L14" s="8" t="str">
        <f aca="false">IF(J14&gt;=3,"Tier 1: Must in 3+ sources",IF(J14=2,"Tier 2: Must in 2 sources",IF(J14=1,"Tier 3: Must in 1 source",IF(COUNTIF(M14:V14,"S")&gt;0,"Tier 4: Should only",IF(COUNTIF(M14:V14,"C")&gt;0,"Tier 5: Could only",IF(I14&gt;0,"Tier 6: stated, no priority","Aurigo-only"))))))</f>
        <v>Tier 3: Must in 1 source</v>
      </c>
      <c r="M14" s="12"/>
      <c r="N14" s="12"/>
      <c r="O14" s="12"/>
      <c r="P14" s="12"/>
      <c r="Q14" s="12"/>
      <c r="R14" s="12"/>
      <c r="S14" s="12"/>
      <c r="T14" s="12"/>
      <c r="U14" s="12" t="s">
        <v>194</v>
      </c>
      <c r="V14" s="12"/>
      <c r="W14" s="8" t="s">
        <v>2035</v>
      </c>
      <c r="X14" s="8"/>
      <c r="Y14" s="8"/>
    </row>
    <row r="15" customFormat="false" ht="75" hidden="false" customHeight="true" outlineLevel="0" collapsed="false">
      <c r="A15" s="12" t="s">
        <v>2036</v>
      </c>
      <c r="B15" s="12" t="s">
        <v>1986</v>
      </c>
      <c r="C15" s="8" t="s">
        <v>2037</v>
      </c>
      <c r="D15" s="8" t="s">
        <v>437</v>
      </c>
      <c r="E15" s="8" t="s">
        <v>2038</v>
      </c>
      <c r="F15" s="8" t="s">
        <v>2039</v>
      </c>
      <c r="G15" s="8" t="s">
        <v>193</v>
      </c>
      <c r="H15" s="8" t="str">
        <f aca="false">IF(COUNTIF(M15:V15,"M")&gt;0,"Must Have",IF(COUNTIF(M15:V15,"S")&gt;0,"Should Have",IF(COUNTIF(M15:V15,"C")&gt;0,"Could Have",IF(COUNTA(M15:V15)&gt;0,"Stated – no priority","Aurigo-only (no RFP source)"))))</f>
        <v>Must Have</v>
      </c>
      <c r="I15" s="12" t="n">
        <f aca="false">COUNTA(M15:V15)</f>
        <v>3</v>
      </c>
      <c r="J15" s="12" t="n">
        <f aca="false">COUNTIF(M15:V15,"M")</f>
        <v>2</v>
      </c>
      <c r="K15" s="8" t="str">
        <f aca="false">IF(I15=0,"Aurigo-only",IF(I15=1,"Single source",IF(I15=2,"Two sources",IF(I15&lt;=4,"Common (3-4)","Broad (5+)"))))</f>
        <v>Common (3-4)</v>
      </c>
      <c r="L15" s="8" t="str">
        <f aca="false">IF(J15&gt;=3,"Tier 1: Must in 3+ sources",IF(J15=2,"Tier 2: Must in 2 sources",IF(J15=1,"Tier 3: Must in 1 source",IF(COUNTIF(M15:V15,"S")&gt;0,"Tier 4: Should only",IF(COUNTIF(M15:V15,"C")&gt;0,"Tier 5: Could only",IF(I15&gt;0,"Tier 6: stated, no priority","Aurigo-only"))))))</f>
        <v>Tier 2: Must in 2 sources</v>
      </c>
      <c r="M15" s="12"/>
      <c r="N15" s="12"/>
      <c r="O15" s="12" t="s">
        <v>194</v>
      </c>
      <c r="P15" s="12"/>
      <c r="Q15" s="12"/>
      <c r="R15" s="12"/>
      <c r="S15" s="12"/>
      <c r="T15" s="12" t="s">
        <v>195</v>
      </c>
      <c r="U15" s="12" t="s">
        <v>194</v>
      </c>
      <c r="V15" s="12"/>
      <c r="W15" s="8" t="s">
        <v>2040</v>
      </c>
      <c r="X15" s="8"/>
      <c r="Y15" s="8"/>
    </row>
    <row r="16" customFormat="false" ht="75" hidden="false" customHeight="true" outlineLevel="0" collapsed="false">
      <c r="A16" s="12" t="s">
        <v>2041</v>
      </c>
      <c r="B16" s="12" t="s">
        <v>1986</v>
      </c>
      <c r="C16" s="8" t="s">
        <v>2037</v>
      </c>
      <c r="D16" s="8" t="s">
        <v>437</v>
      </c>
      <c r="E16" s="8" t="s">
        <v>2042</v>
      </c>
      <c r="F16" s="8" t="s">
        <v>2043</v>
      </c>
      <c r="G16" s="8" t="s">
        <v>193</v>
      </c>
      <c r="H16" s="8" t="str">
        <f aca="false">IF(COUNTIF(M16:V16,"M")&gt;0,"Must Have",IF(COUNTIF(M16:V16,"S")&gt;0,"Should Have",IF(COUNTIF(M16:V16,"C")&gt;0,"Could Have",IF(COUNTA(M16:V16)&gt;0,"Stated – no priority","Aurigo-only (no RFP source)"))))</f>
        <v>Must Have</v>
      </c>
      <c r="I16" s="12" t="n">
        <f aca="false">COUNTA(M16:V16)</f>
        <v>4</v>
      </c>
      <c r="J16" s="12" t="n">
        <f aca="false">COUNTIF(M16:V16,"M")</f>
        <v>3</v>
      </c>
      <c r="K16" s="8" t="str">
        <f aca="false">IF(I16=0,"Aurigo-only",IF(I16=1,"Single source",IF(I16=2,"Two sources",IF(I16&lt;=4,"Common (3-4)","Broad (5+)"))))</f>
        <v>Common (3-4)</v>
      </c>
      <c r="L16" s="8" t="str">
        <f aca="false">IF(J16&gt;=3,"Tier 1: Must in 3+ sources",IF(J16=2,"Tier 2: Must in 2 sources",IF(J16=1,"Tier 3: Must in 1 source",IF(COUNTIF(M16:V16,"S")&gt;0,"Tier 4: Should only",IF(COUNTIF(M16:V16,"C")&gt;0,"Tier 5: Could only",IF(I16&gt;0,"Tier 6: stated, no priority","Aurigo-only"))))))</f>
        <v>Tier 1: Must in 3+ sources</v>
      </c>
      <c r="M16" s="12"/>
      <c r="N16" s="12"/>
      <c r="O16" s="12" t="s">
        <v>194</v>
      </c>
      <c r="P16" s="12"/>
      <c r="Q16" s="12"/>
      <c r="R16" s="12"/>
      <c r="S16" s="12" t="s">
        <v>195</v>
      </c>
      <c r="T16" s="12"/>
      <c r="U16" s="12" t="s">
        <v>194</v>
      </c>
      <c r="V16" s="12" t="s">
        <v>194</v>
      </c>
      <c r="W16" s="8" t="s">
        <v>2044</v>
      </c>
      <c r="X16" s="8"/>
      <c r="Y16" s="8"/>
    </row>
    <row r="17" customFormat="false" ht="24.75" hidden="false" customHeight="true" outlineLevel="0" collapsed="false">
      <c r="A17" s="12" t="s">
        <v>2045</v>
      </c>
      <c r="B17" s="12" t="s">
        <v>1986</v>
      </c>
      <c r="C17" s="8" t="s">
        <v>2037</v>
      </c>
      <c r="D17" s="8" t="s">
        <v>437</v>
      </c>
      <c r="E17" s="8" t="s">
        <v>2046</v>
      </c>
      <c r="F17" s="8" t="s">
        <v>2047</v>
      </c>
      <c r="G17" s="8" t="s">
        <v>193</v>
      </c>
      <c r="H17" s="8" t="str">
        <f aca="false">IF(COUNTIF(M17:V17,"M")&gt;0,"Must Have",IF(COUNTIF(M17:V17,"S")&gt;0,"Should Have",IF(COUNTIF(M17:V17,"C")&gt;0,"Could Have",IF(COUNTA(M17:V17)&gt;0,"Stated – no priority","Aurigo-only (no RFP source)"))))</f>
        <v>Could Have</v>
      </c>
      <c r="I17" s="12" t="n">
        <f aca="false">COUNTA(M17:V17)</f>
        <v>1</v>
      </c>
      <c r="J17" s="12" t="n">
        <f aca="false">COUNTIF(M17:V17,"M")</f>
        <v>0</v>
      </c>
      <c r="K17" s="8" t="str">
        <f aca="false">IF(I17=0,"Aurigo-only",IF(I17=1,"Single source",IF(I17=2,"Two sources",IF(I17&lt;=4,"Common (3-4)","Broad (5+)"))))</f>
        <v>Single source</v>
      </c>
      <c r="L17" s="8" t="str">
        <f aca="false">IF(J17&gt;=3,"Tier 1: Must in 3+ sources",IF(J17=2,"Tier 2: Must in 2 sources",IF(J17=1,"Tier 3: Must in 1 source",IF(COUNTIF(M17:V17,"S")&gt;0,"Tier 4: Should only",IF(COUNTIF(M17:V17,"C")&gt;0,"Tier 5: Could only",IF(I17&gt;0,"Tier 6: stated, no priority","Aurigo-only"))))))</f>
        <v>Tier 5: Could only</v>
      </c>
      <c r="M17" s="12"/>
      <c r="N17" s="12"/>
      <c r="O17" s="12"/>
      <c r="P17" s="12"/>
      <c r="Q17" s="12"/>
      <c r="R17" s="12"/>
      <c r="S17" s="12"/>
      <c r="T17" s="12"/>
      <c r="U17" s="12" t="s">
        <v>810</v>
      </c>
      <c r="V17" s="12"/>
      <c r="W17" s="8" t="s">
        <v>2048</v>
      </c>
      <c r="X17" s="8"/>
      <c r="Y17" s="8"/>
    </row>
    <row r="18" customFormat="false" ht="37.5" hidden="false" customHeight="true" outlineLevel="0" collapsed="false">
      <c r="A18" s="12" t="s">
        <v>2049</v>
      </c>
      <c r="B18" s="12" t="s">
        <v>1986</v>
      </c>
      <c r="C18" s="8" t="s">
        <v>2037</v>
      </c>
      <c r="D18" s="8" t="s">
        <v>437</v>
      </c>
      <c r="E18" s="8" t="s">
        <v>2050</v>
      </c>
      <c r="F18" s="8" t="s">
        <v>2051</v>
      </c>
      <c r="G18" s="8" t="s">
        <v>193</v>
      </c>
      <c r="H18" s="8" t="str">
        <f aca="false">IF(COUNTIF(M18:V18,"M")&gt;0,"Must Have",IF(COUNTIF(M18:V18,"S")&gt;0,"Should Have",IF(COUNTIF(M18:V18,"C")&gt;0,"Could Have",IF(COUNTA(M18:V18)&gt;0,"Stated – no priority","Aurigo-only (no RFP source)"))))</f>
        <v>Must Have</v>
      </c>
      <c r="I18" s="12" t="n">
        <f aca="false">COUNTA(M18:V18)</f>
        <v>1</v>
      </c>
      <c r="J18" s="12" t="n">
        <f aca="false">COUNTIF(M18:V18,"M")</f>
        <v>1</v>
      </c>
      <c r="K18" s="8" t="str">
        <f aca="false">IF(I18=0,"Aurigo-only",IF(I18=1,"Single source",IF(I18=2,"Two sources",IF(I18&lt;=4,"Common (3-4)","Broad (5+)"))))</f>
        <v>Single source</v>
      </c>
      <c r="L18" s="8" t="str">
        <f aca="false">IF(J18&gt;=3,"Tier 1: Must in 3+ sources",IF(J18=2,"Tier 2: Must in 2 sources",IF(J18=1,"Tier 3: Must in 1 source",IF(COUNTIF(M18:V18,"S")&gt;0,"Tier 4: Should only",IF(COUNTIF(M18:V18,"C")&gt;0,"Tier 5: Could only",IF(I18&gt;0,"Tier 6: stated, no priority","Aurigo-only"))))))</f>
        <v>Tier 3: Must in 1 source</v>
      </c>
      <c r="M18" s="12"/>
      <c r="N18" s="12"/>
      <c r="O18" s="12"/>
      <c r="P18" s="12"/>
      <c r="Q18" s="12"/>
      <c r="R18" s="12"/>
      <c r="S18" s="12"/>
      <c r="T18" s="12"/>
      <c r="U18" s="12" t="s">
        <v>194</v>
      </c>
      <c r="V18" s="12"/>
      <c r="W18" s="8" t="s">
        <v>2052</v>
      </c>
      <c r="X18" s="8"/>
      <c r="Y18" s="8"/>
    </row>
    <row r="19" customFormat="false" ht="24.75" hidden="false" customHeight="true" outlineLevel="0" collapsed="false">
      <c r="A19" s="12" t="s">
        <v>2053</v>
      </c>
      <c r="B19" s="12" t="s">
        <v>1986</v>
      </c>
      <c r="C19" s="8" t="s">
        <v>2037</v>
      </c>
      <c r="D19" s="8" t="s">
        <v>437</v>
      </c>
      <c r="E19" s="8" t="s">
        <v>2054</v>
      </c>
      <c r="F19" s="8" t="s">
        <v>2055</v>
      </c>
      <c r="G19" s="8" t="s">
        <v>193</v>
      </c>
      <c r="H19" s="8" t="str">
        <f aca="false">IF(COUNTIF(M19:V19,"M")&gt;0,"Must Have",IF(COUNTIF(M19:V19,"S")&gt;0,"Should Have",IF(COUNTIF(M19:V19,"C")&gt;0,"Could Have",IF(COUNTA(M19:V19)&gt;0,"Stated – no priority","Aurigo-only (no RFP source)"))))</f>
        <v>Could Have</v>
      </c>
      <c r="I19" s="12" t="n">
        <f aca="false">COUNTA(M19:V19)</f>
        <v>1</v>
      </c>
      <c r="J19" s="12" t="n">
        <f aca="false">COUNTIF(M19:V19,"M")</f>
        <v>0</v>
      </c>
      <c r="K19" s="8" t="str">
        <f aca="false">IF(I19=0,"Aurigo-only",IF(I19=1,"Single source",IF(I19=2,"Two sources",IF(I19&lt;=4,"Common (3-4)","Broad (5+)"))))</f>
        <v>Single source</v>
      </c>
      <c r="L19" s="8" t="str">
        <f aca="false">IF(J19&gt;=3,"Tier 1: Must in 3+ sources",IF(J19=2,"Tier 2: Must in 2 sources",IF(J19=1,"Tier 3: Must in 1 source",IF(COUNTIF(M19:V19,"S")&gt;0,"Tier 4: Should only",IF(COUNTIF(M19:V19,"C")&gt;0,"Tier 5: Could only",IF(I19&gt;0,"Tier 6: stated, no priority","Aurigo-only"))))))</f>
        <v>Tier 5: Could only</v>
      </c>
      <c r="M19" s="12"/>
      <c r="N19" s="12"/>
      <c r="O19" s="12"/>
      <c r="P19" s="12"/>
      <c r="Q19" s="12"/>
      <c r="R19" s="12"/>
      <c r="S19" s="12"/>
      <c r="T19" s="12"/>
      <c r="U19" s="12" t="s">
        <v>810</v>
      </c>
      <c r="V19" s="12"/>
      <c r="W19" s="8" t="s">
        <v>2056</v>
      </c>
      <c r="X19" s="8"/>
      <c r="Y19" s="8"/>
    </row>
    <row r="20" customFormat="false" ht="37.5" hidden="false" customHeight="true" outlineLevel="0" collapsed="false">
      <c r="A20" s="12" t="s">
        <v>2057</v>
      </c>
      <c r="B20" s="12" t="s">
        <v>1986</v>
      </c>
      <c r="C20" s="8" t="s">
        <v>2037</v>
      </c>
      <c r="D20" s="8" t="s">
        <v>437</v>
      </c>
      <c r="E20" s="8" t="s">
        <v>2058</v>
      </c>
      <c r="F20" s="8" t="s">
        <v>2059</v>
      </c>
      <c r="G20" s="8" t="s">
        <v>193</v>
      </c>
      <c r="H20" s="8" t="str">
        <f aca="false">IF(COUNTIF(M20:V20,"M")&gt;0,"Must Have",IF(COUNTIF(M20:V20,"S")&gt;0,"Should Have",IF(COUNTIF(M20:V20,"C")&gt;0,"Could Have",IF(COUNTA(M20:V20)&gt;0,"Stated – no priority","Aurigo-only (no RFP source)"))))</f>
        <v>Stated – no priority</v>
      </c>
      <c r="I20" s="12" t="n">
        <f aca="false">COUNTA(M20:V20)</f>
        <v>1</v>
      </c>
      <c r="J20" s="12" t="n">
        <f aca="false">COUNTIF(M20:V20,"M")</f>
        <v>0</v>
      </c>
      <c r="K20" s="8" t="str">
        <f aca="false">IF(I20=0,"Aurigo-only",IF(I20=1,"Single source",IF(I20=2,"Two sources",IF(I20&lt;=4,"Common (3-4)","Broad (5+)"))))</f>
        <v>Single source</v>
      </c>
      <c r="L20" s="8" t="str">
        <f aca="false">IF(J20&gt;=3,"Tier 1: Must in 3+ sources",IF(J20=2,"Tier 2: Must in 2 sources",IF(J20=1,"Tier 3: Must in 1 source",IF(COUNTIF(M20:V20,"S")&gt;0,"Tier 4: Should only",IF(COUNTIF(M20:V20,"C")&gt;0,"Tier 5: Could only",IF(I20&gt;0,"Tier 6: stated, no priority","Aurigo-only"))))))</f>
        <v>Tier 6: stated, no priority</v>
      </c>
      <c r="M20" s="12"/>
      <c r="N20" s="12"/>
      <c r="O20" s="12"/>
      <c r="P20" s="12"/>
      <c r="Q20" s="12"/>
      <c r="R20" s="12"/>
      <c r="S20" s="12" t="s">
        <v>195</v>
      </c>
      <c r="T20" s="12"/>
      <c r="U20" s="12"/>
      <c r="V20" s="12"/>
      <c r="W20" s="8" t="s">
        <v>2060</v>
      </c>
      <c r="X20" s="8"/>
      <c r="Y20" s="8" t="s">
        <v>2061</v>
      </c>
    </row>
    <row r="21" customFormat="false" ht="49.5" hidden="false" customHeight="true" outlineLevel="0" collapsed="false">
      <c r="A21" s="12" t="s">
        <v>2062</v>
      </c>
      <c r="B21" s="12" t="s">
        <v>1986</v>
      </c>
      <c r="C21" s="8" t="s">
        <v>2037</v>
      </c>
      <c r="D21" s="8" t="s">
        <v>437</v>
      </c>
      <c r="E21" s="8" t="s">
        <v>2063</v>
      </c>
      <c r="F21" s="8" t="s">
        <v>2064</v>
      </c>
      <c r="G21" s="8" t="s">
        <v>409</v>
      </c>
      <c r="H21" s="8" t="str">
        <f aca="false">IF(COUNTIF(M21:V21,"M")&gt;0,"Must Have",IF(COUNTIF(M21:V21,"S")&gt;0,"Should Have",IF(COUNTIF(M21:V21,"C")&gt;0,"Could Have",IF(COUNTA(M21:V21)&gt;0,"Stated – no priority","Aurigo-only (no RFP source)"))))</f>
        <v>Must Have</v>
      </c>
      <c r="I21" s="12" t="n">
        <f aca="false">COUNTA(M21:V21)</f>
        <v>2</v>
      </c>
      <c r="J21" s="12" t="n">
        <f aca="false">COUNTIF(M21:V21,"M")</f>
        <v>1</v>
      </c>
      <c r="K21" s="8" t="str">
        <f aca="false">IF(I21=0,"Aurigo-only",IF(I21=1,"Single source",IF(I21=2,"Two sources",IF(I21&lt;=4,"Common (3-4)","Broad (5+)"))))</f>
        <v>Two sources</v>
      </c>
      <c r="L21" s="8" t="str">
        <f aca="false">IF(J21&gt;=3,"Tier 1: Must in 3+ sources",IF(J21=2,"Tier 2: Must in 2 sources",IF(J21=1,"Tier 3: Must in 1 source",IF(COUNTIF(M21:V21,"S")&gt;0,"Tier 4: Should only",IF(COUNTIF(M21:V21,"C")&gt;0,"Tier 5: Could only",IF(I21&gt;0,"Tier 6: stated, no priority","Aurigo-only"))))))</f>
        <v>Tier 3: Must in 1 source</v>
      </c>
      <c r="M21" s="12"/>
      <c r="N21" s="12"/>
      <c r="O21" s="12"/>
      <c r="P21" s="12"/>
      <c r="Q21" s="12"/>
      <c r="R21" s="12"/>
      <c r="S21" s="12"/>
      <c r="T21" s="12" t="s">
        <v>195</v>
      </c>
      <c r="U21" s="12" t="s">
        <v>194</v>
      </c>
      <c r="V21" s="12"/>
      <c r="W21" s="8" t="s">
        <v>2065</v>
      </c>
      <c r="X21" s="8"/>
      <c r="Y21" s="8"/>
    </row>
    <row r="22" customFormat="false" ht="37.5" hidden="false" customHeight="true" outlineLevel="0" collapsed="false">
      <c r="A22" s="12" t="s">
        <v>2066</v>
      </c>
      <c r="B22" s="12" t="s">
        <v>1986</v>
      </c>
      <c r="C22" s="8" t="s">
        <v>2037</v>
      </c>
      <c r="D22" s="8" t="s">
        <v>1201</v>
      </c>
      <c r="E22" s="8" t="s">
        <v>2067</v>
      </c>
      <c r="F22" s="8" t="s">
        <v>2068</v>
      </c>
      <c r="G22" s="8" t="s">
        <v>193</v>
      </c>
      <c r="H22" s="8" t="str">
        <f aca="false">IF(COUNTIF(M22:V22,"M")&gt;0,"Must Have",IF(COUNTIF(M22:V22,"S")&gt;0,"Should Have",IF(COUNTIF(M22:V22,"C")&gt;0,"Could Have",IF(COUNTA(M22:V22)&gt;0,"Stated – no priority","Aurigo-only (no RFP source)"))))</f>
        <v>Must Have</v>
      </c>
      <c r="I22" s="12" t="n">
        <f aca="false">COUNTA(M22:V22)</f>
        <v>1</v>
      </c>
      <c r="J22" s="12" t="n">
        <f aca="false">COUNTIF(M22:V22,"M")</f>
        <v>1</v>
      </c>
      <c r="K22" s="8" t="str">
        <f aca="false">IF(I22=0,"Aurigo-only",IF(I22=1,"Single source",IF(I22=2,"Two sources",IF(I22&lt;=4,"Common (3-4)","Broad (5+)"))))</f>
        <v>Single source</v>
      </c>
      <c r="L22" s="8" t="str">
        <f aca="false">IF(J22&gt;=3,"Tier 1: Must in 3+ sources",IF(J22=2,"Tier 2: Must in 2 sources",IF(J22=1,"Tier 3: Must in 1 source",IF(COUNTIF(M22:V22,"S")&gt;0,"Tier 4: Should only",IF(COUNTIF(M22:V22,"C")&gt;0,"Tier 5: Could only",IF(I22&gt;0,"Tier 6: stated, no priority","Aurigo-only"))))))</f>
        <v>Tier 3: Must in 1 source</v>
      </c>
      <c r="M22" s="12"/>
      <c r="N22" s="12"/>
      <c r="O22" s="12"/>
      <c r="P22" s="12"/>
      <c r="Q22" s="12"/>
      <c r="R22" s="12"/>
      <c r="S22" s="12"/>
      <c r="T22" s="12"/>
      <c r="U22" s="12" t="s">
        <v>194</v>
      </c>
      <c r="V22" s="12"/>
      <c r="W22" s="8" t="s">
        <v>2052</v>
      </c>
      <c r="X22" s="8"/>
      <c r="Y22" s="8"/>
    </row>
    <row r="23" customFormat="false" ht="37.5" hidden="false" customHeight="true" outlineLevel="0" collapsed="false">
      <c r="A23" s="12" t="s">
        <v>2069</v>
      </c>
      <c r="B23" s="12" t="s">
        <v>1986</v>
      </c>
      <c r="C23" s="8" t="s">
        <v>2070</v>
      </c>
      <c r="D23" s="8" t="s">
        <v>2071</v>
      </c>
      <c r="E23" s="8" t="s">
        <v>2072</v>
      </c>
      <c r="F23" s="8" t="s">
        <v>2073</v>
      </c>
      <c r="G23" s="8" t="s">
        <v>193</v>
      </c>
      <c r="H23" s="8" t="str">
        <f aca="false">IF(COUNTIF(M23:V23,"M")&gt;0,"Must Have",IF(COUNTIF(M23:V23,"S")&gt;0,"Should Have",IF(COUNTIF(M23:V23,"C")&gt;0,"Could Have",IF(COUNTA(M23:V23)&gt;0,"Stated – no priority","Aurigo-only (no RFP source)"))))</f>
        <v>Must Have</v>
      </c>
      <c r="I23" s="12" t="n">
        <f aca="false">COUNTA(M23:V23)</f>
        <v>1</v>
      </c>
      <c r="J23" s="12" t="n">
        <f aca="false">COUNTIF(M23:V23,"M")</f>
        <v>1</v>
      </c>
      <c r="K23" s="8" t="str">
        <f aca="false">IF(I23=0,"Aurigo-only",IF(I23=1,"Single source",IF(I23=2,"Two sources",IF(I23&lt;=4,"Common (3-4)","Broad (5+)"))))</f>
        <v>Single source</v>
      </c>
      <c r="L23" s="8" t="str">
        <f aca="false">IF(J23&gt;=3,"Tier 1: Must in 3+ sources",IF(J23=2,"Tier 2: Must in 2 sources",IF(J23=1,"Tier 3: Must in 1 source",IF(COUNTIF(M23:V23,"S")&gt;0,"Tier 4: Should only",IF(COUNTIF(M23:V23,"C")&gt;0,"Tier 5: Could only",IF(I23&gt;0,"Tier 6: stated, no priority","Aurigo-only"))))))</f>
        <v>Tier 3: Must in 1 source</v>
      </c>
      <c r="M23" s="12"/>
      <c r="N23" s="12"/>
      <c r="O23" s="12"/>
      <c r="P23" s="12"/>
      <c r="Q23" s="12"/>
      <c r="R23" s="12"/>
      <c r="S23" s="12"/>
      <c r="T23" s="12"/>
      <c r="U23" s="12" t="s">
        <v>194</v>
      </c>
      <c r="V23" s="12"/>
      <c r="W23" s="8" t="s">
        <v>2074</v>
      </c>
      <c r="X23" s="8"/>
      <c r="Y23" s="8"/>
    </row>
    <row r="24" customFormat="false" ht="37.5" hidden="false" customHeight="true" outlineLevel="0" collapsed="false">
      <c r="A24" s="12" t="s">
        <v>2075</v>
      </c>
      <c r="B24" s="12" t="s">
        <v>1986</v>
      </c>
      <c r="C24" s="8" t="s">
        <v>2070</v>
      </c>
      <c r="D24" s="8" t="s">
        <v>2071</v>
      </c>
      <c r="E24" s="8" t="s">
        <v>2076</v>
      </c>
      <c r="F24" s="8" t="s">
        <v>2077</v>
      </c>
      <c r="G24" s="8" t="s">
        <v>193</v>
      </c>
      <c r="H24" s="8" t="str">
        <f aca="false">IF(COUNTIF(M24:V24,"M")&gt;0,"Must Have",IF(COUNTIF(M24:V24,"S")&gt;0,"Should Have",IF(COUNTIF(M24:V24,"C")&gt;0,"Could Have",IF(COUNTA(M24:V24)&gt;0,"Stated – no priority","Aurigo-only (no RFP source)"))))</f>
        <v>Must Have</v>
      </c>
      <c r="I24" s="12" t="n">
        <f aca="false">COUNTA(M24:V24)</f>
        <v>1</v>
      </c>
      <c r="J24" s="12" t="n">
        <f aca="false">COUNTIF(M24:V24,"M")</f>
        <v>1</v>
      </c>
      <c r="K24" s="8" t="str">
        <f aca="false">IF(I24=0,"Aurigo-only",IF(I24=1,"Single source",IF(I24=2,"Two sources",IF(I24&lt;=4,"Common (3-4)","Broad (5+)"))))</f>
        <v>Single source</v>
      </c>
      <c r="L24" s="8" t="str">
        <f aca="false">IF(J24&gt;=3,"Tier 1: Must in 3+ sources",IF(J24=2,"Tier 2: Must in 2 sources",IF(J24=1,"Tier 3: Must in 1 source",IF(COUNTIF(M24:V24,"S")&gt;0,"Tier 4: Should only",IF(COUNTIF(M24:V24,"C")&gt;0,"Tier 5: Could only",IF(I24&gt;0,"Tier 6: stated, no priority","Aurigo-only"))))))</f>
        <v>Tier 3: Must in 1 source</v>
      </c>
      <c r="M24" s="12"/>
      <c r="N24" s="12"/>
      <c r="O24" s="12"/>
      <c r="P24" s="12"/>
      <c r="Q24" s="12"/>
      <c r="R24" s="12"/>
      <c r="S24" s="12"/>
      <c r="T24" s="12"/>
      <c r="U24" s="12" t="s">
        <v>194</v>
      </c>
      <c r="V24" s="12"/>
      <c r="W24" s="8" t="s">
        <v>2078</v>
      </c>
      <c r="X24" s="8"/>
      <c r="Y24" s="8"/>
    </row>
    <row r="25" customFormat="false" ht="62.25" hidden="false" customHeight="true" outlineLevel="0" collapsed="false">
      <c r="A25" s="12" t="s">
        <v>2079</v>
      </c>
      <c r="B25" s="12" t="s">
        <v>1986</v>
      </c>
      <c r="C25" s="8" t="s">
        <v>2070</v>
      </c>
      <c r="D25" s="8" t="s">
        <v>2071</v>
      </c>
      <c r="E25" s="8" t="s">
        <v>2080</v>
      </c>
      <c r="F25" s="8" t="s">
        <v>2081</v>
      </c>
      <c r="G25" s="8" t="s">
        <v>193</v>
      </c>
      <c r="H25" s="8" t="str">
        <f aca="false">IF(COUNTIF(M25:V25,"M")&gt;0,"Must Have",IF(COUNTIF(M25:V25,"S")&gt;0,"Should Have",IF(COUNTIF(M25:V25,"C")&gt;0,"Could Have",IF(COUNTA(M25:V25)&gt;0,"Stated – no priority","Aurigo-only (no RFP source)"))))</f>
        <v>Must Have</v>
      </c>
      <c r="I25" s="12" t="n">
        <f aca="false">COUNTA(M25:V25)</f>
        <v>2</v>
      </c>
      <c r="J25" s="12" t="n">
        <f aca="false">COUNTIF(M25:V25,"M")</f>
        <v>1</v>
      </c>
      <c r="K25" s="8" t="str">
        <f aca="false">IF(I25=0,"Aurigo-only",IF(I25=1,"Single source",IF(I25=2,"Two sources",IF(I25&lt;=4,"Common (3-4)","Broad (5+)"))))</f>
        <v>Two sources</v>
      </c>
      <c r="L25" s="8" t="str">
        <f aca="false">IF(J25&gt;=3,"Tier 1: Must in 3+ sources",IF(J25=2,"Tier 2: Must in 2 sources",IF(J25=1,"Tier 3: Must in 1 source",IF(COUNTIF(M25:V25,"S")&gt;0,"Tier 4: Should only",IF(COUNTIF(M25:V25,"C")&gt;0,"Tier 5: Could only",IF(I25&gt;0,"Tier 6: stated, no priority","Aurigo-only"))))))</f>
        <v>Tier 3: Must in 1 source</v>
      </c>
      <c r="M25" s="12"/>
      <c r="N25" s="12"/>
      <c r="O25" s="12"/>
      <c r="P25" s="12"/>
      <c r="Q25" s="12"/>
      <c r="R25" s="12"/>
      <c r="S25" s="12"/>
      <c r="T25" s="12" t="s">
        <v>195</v>
      </c>
      <c r="U25" s="12" t="s">
        <v>194</v>
      </c>
      <c r="V25" s="12"/>
      <c r="W25" s="8" t="s">
        <v>2082</v>
      </c>
      <c r="X25" s="8"/>
      <c r="Y25" s="8"/>
    </row>
    <row r="26" customFormat="false" ht="37.5" hidden="false" customHeight="true" outlineLevel="0" collapsed="false">
      <c r="A26" s="12" t="s">
        <v>2083</v>
      </c>
      <c r="B26" s="12" t="s">
        <v>1986</v>
      </c>
      <c r="C26" s="8" t="s">
        <v>2070</v>
      </c>
      <c r="D26" s="8" t="s">
        <v>2071</v>
      </c>
      <c r="E26" s="8" t="s">
        <v>2084</v>
      </c>
      <c r="F26" s="8" t="s">
        <v>2085</v>
      </c>
      <c r="G26" s="8" t="s">
        <v>193</v>
      </c>
      <c r="H26" s="8" t="str">
        <f aca="false">IF(COUNTIF(M26:V26,"M")&gt;0,"Must Have",IF(COUNTIF(M26:V26,"S")&gt;0,"Should Have",IF(COUNTIF(M26:V26,"C")&gt;0,"Could Have",IF(COUNTA(M26:V26)&gt;0,"Stated – no priority","Aurigo-only (no RFP source)"))))</f>
        <v>Could Have</v>
      </c>
      <c r="I26" s="12" t="n">
        <f aca="false">COUNTA(M26:V26)</f>
        <v>1</v>
      </c>
      <c r="J26" s="12" t="n">
        <f aca="false">COUNTIF(M26:V26,"M")</f>
        <v>0</v>
      </c>
      <c r="K26" s="8" t="str">
        <f aca="false">IF(I26=0,"Aurigo-only",IF(I26=1,"Single source",IF(I26=2,"Two sources",IF(I26&lt;=4,"Common (3-4)","Broad (5+)"))))</f>
        <v>Single source</v>
      </c>
      <c r="L26" s="8" t="str">
        <f aca="false">IF(J26&gt;=3,"Tier 1: Must in 3+ sources",IF(J26=2,"Tier 2: Must in 2 sources",IF(J26=1,"Tier 3: Must in 1 source",IF(COUNTIF(M26:V26,"S")&gt;0,"Tier 4: Should only",IF(COUNTIF(M26:V26,"C")&gt;0,"Tier 5: Could only",IF(I26&gt;0,"Tier 6: stated, no priority","Aurigo-only"))))))</f>
        <v>Tier 5: Could only</v>
      </c>
      <c r="M26" s="12"/>
      <c r="N26" s="12"/>
      <c r="O26" s="12"/>
      <c r="P26" s="12"/>
      <c r="Q26" s="12"/>
      <c r="R26" s="12"/>
      <c r="S26" s="12"/>
      <c r="T26" s="12"/>
      <c r="U26" s="12" t="s">
        <v>810</v>
      </c>
      <c r="V26" s="12"/>
      <c r="W26" s="8" t="s">
        <v>2086</v>
      </c>
      <c r="X26" s="8"/>
      <c r="Y26" s="8"/>
    </row>
    <row r="27" customFormat="false" ht="49.5" hidden="false" customHeight="true" outlineLevel="0" collapsed="false">
      <c r="A27" s="12" t="s">
        <v>2087</v>
      </c>
      <c r="B27" s="12" t="s">
        <v>1986</v>
      </c>
      <c r="C27" s="8" t="s">
        <v>2070</v>
      </c>
      <c r="D27" s="8" t="s">
        <v>2071</v>
      </c>
      <c r="E27" s="8" t="s">
        <v>2088</v>
      </c>
      <c r="F27" s="8" t="s">
        <v>2089</v>
      </c>
      <c r="G27" s="8" t="s">
        <v>193</v>
      </c>
      <c r="H27" s="8" t="str">
        <f aca="false">IF(COUNTIF(M27:V27,"M")&gt;0,"Must Have",IF(COUNTIF(M27:V27,"S")&gt;0,"Should Have",IF(COUNTIF(M27:V27,"C")&gt;0,"Could Have",IF(COUNTA(M27:V27)&gt;0,"Stated – no priority","Aurigo-only (no RFP source)"))))</f>
        <v>Must Have</v>
      </c>
      <c r="I27" s="12" t="n">
        <f aca="false">COUNTA(M27:V27)</f>
        <v>2</v>
      </c>
      <c r="J27" s="12" t="n">
        <f aca="false">COUNTIF(M27:V27,"M")</f>
        <v>1</v>
      </c>
      <c r="K27" s="8" t="str">
        <f aca="false">IF(I27=0,"Aurigo-only",IF(I27=1,"Single source",IF(I27=2,"Two sources",IF(I27&lt;=4,"Common (3-4)","Broad (5+)"))))</f>
        <v>Two sources</v>
      </c>
      <c r="L27" s="8" t="str">
        <f aca="false">IF(J27&gt;=3,"Tier 1: Must in 3+ sources",IF(J27=2,"Tier 2: Must in 2 sources",IF(J27=1,"Tier 3: Must in 1 source",IF(COUNTIF(M27:V27,"S")&gt;0,"Tier 4: Should only",IF(COUNTIF(M27:V27,"C")&gt;0,"Tier 5: Could only",IF(I27&gt;0,"Tier 6: stated, no priority","Aurigo-only"))))))</f>
        <v>Tier 3: Must in 1 source</v>
      </c>
      <c r="M27" s="12"/>
      <c r="N27" s="12"/>
      <c r="O27" s="12"/>
      <c r="P27" s="12"/>
      <c r="Q27" s="12"/>
      <c r="R27" s="12"/>
      <c r="S27" s="12"/>
      <c r="T27" s="12" t="s">
        <v>195</v>
      </c>
      <c r="U27" s="12" t="s">
        <v>194</v>
      </c>
      <c r="V27" s="12"/>
      <c r="W27" s="8" t="s">
        <v>2090</v>
      </c>
      <c r="X27" s="8"/>
      <c r="Y27" s="8" t="s">
        <v>2091</v>
      </c>
    </row>
    <row r="28" customFormat="false" ht="87" hidden="false" customHeight="true" outlineLevel="0" collapsed="false">
      <c r="A28" s="12" t="s">
        <v>2092</v>
      </c>
      <c r="B28" s="12" t="s">
        <v>1986</v>
      </c>
      <c r="C28" s="8" t="s">
        <v>2093</v>
      </c>
      <c r="D28" s="8" t="s">
        <v>918</v>
      </c>
      <c r="E28" s="8" t="s">
        <v>2094</v>
      </c>
      <c r="F28" s="8" t="s">
        <v>2095</v>
      </c>
      <c r="G28" s="8" t="s">
        <v>193</v>
      </c>
      <c r="H28" s="8" t="str">
        <f aca="false">IF(COUNTIF(M28:V28,"M")&gt;0,"Must Have",IF(COUNTIF(M28:V28,"S")&gt;0,"Should Have",IF(COUNTIF(M28:V28,"C")&gt;0,"Could Have",IF(COUNTA(M28:V28)&gt;0,"Stated – no priority","Aurigo-only (no RFP source)"))))</f>
        <v>Must Have</v>
      </c>
      <c r="I28" s="12" t="n">
        <f aca="false">COUNTA(M28:V28)</f>
        <v>4</v>
      </c>
      <c r="J28" s="12" t="n">
        <f aca="false">COUNTIF(M28:V28,"M")</f>
        <v>2</v>
      </c>
      <c r="K28" s="8" t="str">
        <f aca="false">IF(I28=0,"Aurigo-only",IF(I28=1,"Single source",IF(I28=2,"Two sources",IF(I28&lt;=4,"Common (3-4)","Broad (5+)"))))</f>
        <v>Common (3-4)</v>
      </c>
      <c r="L28" s="8" t="str">
        <f aca="false">IF(J28&gt;=3,"Tier 1: Must in 3+ sources",IF(J28=2,"Tier 2: Must in 2 sources",IF(J28=1,"Tier 3: Must in 1 source",IF(COUNTIF(M28:V28,"S")&gt;0,"Tier 4: Should only",IF(COUNTIF(M28:V28,"C")&gt;0,"Tier 5: Could only",IF(I28&gt;0,"Tier 6: stated, no priority","Aurigo-only"))))))</f>
        <v>Tier 2: Must in 2 sources</v>
      </c>
      <c r="M28" s="12"/>
      <c r="N28" s="12"/>
      <c r="O28" s="12" t="s">
        <v>194</v>
      </c>
      <c r="P28" s="12"/>
      <c r="Q28" s="12"/>
      <c r="R28" s="12"/>
      <c r="S28" s="12" t="s">
        <v>195</v>
      </c>
      <c r="T28" s="12" t="s">
        <v>195</v>
      </c>
      <c r="U28" s="12" t="s">
        <v>194</v>
      </c>
      <c r="V28" s="12"/>
      <c r="W28" s="8" t="s">
        <v>2096</v>
      </c>
      <c r="X28" s="8"/>
      <c r="Y28" s="8"/>
    </row>
    <row r="29" customFormat="false" ht="49.5" hidden="false" customHeight="true" outlineLevel="0" collapsed="false">
      <c r="A29" s="12" t="s">
        <v>2097</v>
      </c>
      <c r="B29" s="12" t="s">
        <v>1986</v>
      </c>
      <c r="C29" s="8" t="s">
        <v>2093</v>
      </c>
      <c r="D29" s="8" t="s">
        <v>918</v>
      </c>
      <c r="E29" s="8" t="s">
        <v>2098</v>
      </c>
      <c r="F29" s="8" t="s">
        <v>2099</v>
      </c>
      <c r="G29" s="8" t="s">
        <v>193</v>
      </c>
      <c r="H29" s="8" t="str">
        <f aca="false">IF(COUNTIF(M29:V29,"M")&gt;0,"Must Have",IF(COUNTIF(M29:V29,"S")&gt;0,"Should Have",IF(COUNTIF(M29:V29,"C")&gt;0,"Could Have",IF(COUNTA(M29:V29)&gt;0,"Stated – no priority","Aurigo-only (no RFP source)"))))</f>
        <v>Must Have</v>
      </c>
      <c r="I29" s="12" t="n">
        <f aca="false">COUNTA(M29:V29)</f>
        <v>2</v>
      </c>
      <c r="J29" s="12" t="n">
        <f aca="false">COUNTIF(M29:V29,"M")</f>
        <v>2</v>
      </c>
      <c r="K29" s="8" t="str">
        <f aca="false">IF(I29=0,"Aurigo-only",IF(I29=1,"Single source",IF(I29=2,"Two sources",IF(I29&lt;=4,"Common (3-4)","Broad (5+)"))))</f>
        <v>Two sources</v>
      </c>
      <c r="L29" s="8" t="str">
        <f aca="false">IF(J29&gt;=3,"Tier 1: Must in 3+ sources",IF(J29=2,"Tier 2: Must in 2 sources",IF(J29=1,"Tier 3: Must in 1 source",IF(COUNTIF(M29:V29,"S")&gt;0,"Tier 4: Should only",IF(COUNTIF(M29:V29,"C")&gt;0,"Tier 5: Could only",IF(I29&gt;0,"Tier 6: stated, no priority","Aurigo-only"))))))</f>
        <v>Tier 2: Must in 2 sources</v>
      </c>
      <c r="M29" s="12"/>
      <c r="N29" s="12"/>
      <c r="O29" s="12" t="s">
        <v>194</v>
      </c>
      <c r="P29" s="12"/>
      <c r="Q29" s="12"/>
      <c r="R29" s="12"/>
      <c r="S29" s="12"/>
      <c r="T29" s="12"/>
      <c r="U29" s="12" t="s">
        <v>194</v>
      </c>
      <c r="V29" s="12"/>
      <c r="W29" s="8" t="s">
        <v>2100</v>
      </c>
      <c r="X29" s="8"/>
      <c r="Y29" s="8"/>
    </row>
    <row r="30" customFormat="false" ht="37.5" hidden="false" customHeight="true" outlineLevel="0" collapsed="false">
      <c r="A30" s="12" t="s">
        <v>2101</v>
      </c>
      <c r="B30" s="12" t="s">
        <v>1986</v>
      </c>
      <c r="C30" s="8" t="s">
        <v>2093</v>
      </c>
      <c r="D30" s="8" t="s">
        <v>512</v>
      </c>
      <c r="E30" s="8" t="s">
        <v>2102</v>
      </c>
      <c r="F30" s="8" t="s">
        <v>2103</v>
      </c>
      <c r="G30" s="8" t="s">
        <v>193</v>
      </c>
      <c r="H30" s="8" t="str">
        <f aca="false">IF(COUNTIF(M30:V30,"M")&gt;0,"Must Have",IF(COUNTIF(M30:V30,"S")&gt;0,"Should Have",IF(COUNTIF(M30:V30,"C")&gt;0,"Could Have",IF(COUNTA(M30:V30)&gt;0,"Stated – no priority","Aurigo-only (no RFP source)"))))</f>
        <v>Must Have</v>
      </c>
      <c r="I30" s="12" t="n">
        <f aca="false">COUNTA(M30:V30)</f>
        <v>2</v>
      </c>
      <c r="J30" s="12" t="n">
        <f aca="false">COUNTIF(M30:V30,"M")</f>
        <v>1</v>
      </c>
      <c r="K30" s="8" t="str">
        <f aca="false">IF(I30=0,"Aurigo-only",IF(I30=1,"Single source",IF(I30=2,"Two sources",IF(I30&lt;=4,"Common (3-4)","Broad (5+)"))))</f>
        <v>Two sources</v>
      </c>
      <c r="L30" s="8" t="str">
        <f aca="false">IF(J30&gt;=3,"Tier 1: Must in 3+ sources",IF(J30=2,"Tier 2: Must in 2 sources",IF(J30=1,"Tier 3: Must in 1 source",IF(COUNTIF(M30:V30,"S")&gt;0,"Tier 4: Should only",IF(COUNTIF(M30:V30,"C")&gt;0,"Tier 5: Could only",IF(I30&gt;0,"Tier 6: stated, no priority","Aurigo-only"))))))</f>
        <v>Tier 3: Must in 1 source</v>
      </c>
      <c r="M30" s="12"/>
      <c r="N30" s="12"/>
      <c r="O30" s="12" t="s">
        <v>194</v>
      </c>
      <c r="P30" s="12"/>
      <c r="Q30" s="12"/>
      <c r="R30" s="12"/>
      <c r="S30" s="12"/>
      <c r="T30" s="12" t="s">
        <v>195</v>
      </c>
      <c r="U30" s="12"/>
      <c r="V30" s="12"/>
      <c r="W30" s="8" t="s">
        <v>2104</v>
      </c>
      <c r="X30" s="8"/>
      <c r="Y30" s="8"/>
    </row>
    <row r="31" customFormat="false" ht="24.75" hidden="false" customHeight="true" outlineLevel="0" collapsed="false">
      <c r="A31" s="12" t="s">
        <v>2105</v>
      </c>
      <c r="B31" s="12" t="s">
        <v>1986</v>
      </c>
      <c r="C31" s="8" t="s">
        <v>2093</v>
      </c>
      <c r="D31" s="8" t="s">
        <v>512</v>
      </c>
      <c r="E31" s="8" t="s">
        <v>2106</v>
      </c>
      <c r="F31" s="8" t="s">
        <v>2107</v>
      </c>
      <c r="G31" s="8" t="s">
        <v>397</v>
      </c>
      <c r="H31" s="8" t="str">
        <f aca="false">IF(COUNTIF(M31:V31,"M")&gt;0,"Must Have",IF(COUNTIF(M31:V31,"S")&gt;0,"Should Have",IF(COUNTIF(M31:V31,"C")&gt;0,"Could Have",IF(COUNTA(M31:V31)&gt;0,"Stated – no priority","Aurigo-only (no RFP source)"))))</f>
        <v>Stated – no priority</v>
      </c>
      <c r="I31" s="12" t="n">
        <f aca="false">COUNTA(M31:V31)</f>
        <v>1</v>
      </c>
      <c r="J31" s="12" t="n">
        <f aca="false">COUNTIF(M31:V31,"M")</f>
        <v>0</v>
      </c>
      <c r="K31" s="8" t="str">
        <f aca="false">IF(I31=0,"Aurigo-only",IF(I31=1,"Single source",IF(I31=2,"Two sources",IF(I31&lt;=4,"Common (3-4)","Broad (5+)"))))</f>
        <v>Single source</v>
      </c>
      <c r="L31" s="8" t="str">
        <f aca="false">IF(J31&gt;=3,"Tier 1: Must in 3+ sources",IF(J31=2,"Tier 2: Must in 2 sources",IF(J31=1,"Tier 3: Must in 1 source",IF(COUNTIF(M31:V31,"S")&gt;0,"Tier 4: Should only",IF(COUNTIF(M31:V31,"C")&gt;0,"Tier 5: Could only",IF(I31&gt;0,"Tier 6: stated, no priority","Aurigo-only"))))))</f>
        <v>Tier 6: stated, no priority</v>
      </c>
      <c r="M31" s="12"/>
      <c r="N31" s="12"/>
      <c r="O31" s="12"/>
      <c r="P31" s="12"/>
      <c r="Q31" s="12"/>
      <c r="R31" s="12"/>
      <c r="S31" s="12"/>
      <c r="T31" s="12" t="s">
        <v>195</v>
      </c>
      <c r="U31" s="12"/>
      <c r="V31" s="12"/>
      <c r="W31" s="8" t="s">
        <v>2108</v>
      </c>
      <c r="X31" s="8"/>
      <c r="Y31" s="8"/>
    </row>
    <row r="32" customFormat="false" ht="75" hidden="false" customHeight="true" outlineLevel="0" collapsed="false">
      <c r="A32" s="12" t="s">
        <v>2109</v>
      </c>
      <c r="B32" s="12" t="s">
        <v>1986</v>
      </c>
      <c r="C32" s="8" t="s">
        <v>2110</v>
      </c>
      <c r="D32" s="8" t="s">
        <v>2111</v>
      </c>
      <c r="E32" s="8" t="s">
        <v>2112</v>
      </c>
      <c r="F32" s="8" t="s">
        <v>2113</v>
      </c>
      <c r="G32" s="8" t="s">
        <v>193</v>
      </c>
      <c r="H32" s="8" t="str">
        <f aca="false">IF(COUNTIF(M32:V32,"M")&gt;0,"Must Have",IF(COUNTIF(M32:V32,"S")&gt;0,"Should Have",IF(COUNTIF(M32:V32,"C")&gt;0,"Could Have",IF(COUNTA(M32:V32)&gt;0,"Stated – no priority","Aurigo-only (no RFP source)"))))</f>
        <v>Must Have</v>
      </c>
      <c r="I32" s="12" t="n">
        <f aca="false">COUNTA(M32:V32)</f>
        <v>2</v>
      </c>
      <c r="J32" s="12" t="n">
        <f aca="false">COUNTIF(M32:V32,"M")</f>
        <v>1</v>
      </c>
      <c r="K32" s="8" t="str">
        <f aca="false">IF(I32=0,"Aurigo-only",IF(I32=1,"Single source",IF(I32=2,"Two sources",IF(I32&lt;=4,"Common (3-4)","Broad (5+)"))))</f>
        <v>Two sources</v>
      </c>
      <c r="L32" s="8" t="str">
        <f aca="false">IF(J32&gt;=3,"Tier 1: Must in 3+ sources",IF(J32=2,"Tier 2: Must in 2 sources",IF(J32=1,"Tier 3: Must in 1 source",IF(COUNTIF(M32:V32,"S")&gt;0,"Tier 4: Should only",IF(COUNTIF(M32:V32,"C")&gt;0,"Tier 5: Could only",IF(I32&gt;0,"Tier 6: stated, no priority","Aurigo-only"))))))</f>
        <v>Tier 3: Must in 1 source</v>
      </c>
      <c r="M32" s="12"/>
      <c r="N32" s="12"/>
      <c r="O32" s="12"/>
      <c r="P32" s="12"/>
      <c r="Q32" s="12"/>
      <c r="R32" s="12"/>
      <c r="S32" s="12"/>
      <c r="T32" s="12" t="s">
        <v>195</v>
      </c>
      <c r="U32" s="12" t="s">
        <v>194</v>
      </c>
      <c r="V32" s="12"/>
      <c r="W32" s="8" t="s">
        <v>2114</v>
      </c>
      <c r="X32" s="8" t="s">
        <v>2115</v>
      </c>
      <c r="Y32" s="8"/>
    </row>
    <row r="33" customFormat="false" ht="37.5" hidden="false" customHeight="true" outlineLevel="0" collapsed="false">
      <c r="A33" s="12" t="s">
        <v>2116</v>
      </c>
      <c r="B33" s="12" t="s">
        <v>1986</v>
      </c>
      <c r="C33" s="8" t="s">
        <v>2110</v>
      </c>
      <c r="D33" s="8" t="s">
        <v>2111</v>
      </c>
      <c r="E33" s="8" t="s">
        <v>2117</v>
      </c>
      <c r="F33" s="8" t="s">
        <v>2118</v>
      </c>
      <c r="G33" s="8" t="s">
        <v>193</v>
      </c>
      <c r="H33" s="8" t="str">
        <f aca="false">IF(COUNTIF(M33:V33,"M")&gt;0,"Must Have",IF(COUNTIF(M33:V33,"S")&gt;0,"Should Have",IF(COUNTIF(M33:V33,"C")&gt;0,"Could Have",IF(COUNTA(M33:V33)&gt;0,"Stated – no priority","Aurigo-only (no RFP source)"))))</f>
        <v>Could Have</v>
      </c>
      <c r="I33" s="12" t="n">
        <f aca="false">COUNTA(M33:V33)</f>
        <v>1</v>
      </c>
      <c r="J33" s="12" t="n">
        <f aca="false">COUNTIF(M33:V33,"M")</f>
        <v>0</v>
      </c>
      <c r="K33" s="8" t="str">
        <f aca="false">IF(I33=0,"Aurigo-only",IF(I33=1,"Single source",IF(I33=2,"Two sources",IF(I33&lt;=4,"Common (3-4)","Broad (5+)"))))</f>
        <v>Single source</v>
      </c>
      <c r="L33" s="8" t="str">
        <f aca="false">IF(J33&gt;=3,"Tier 1: Must in 3+ sources",IF(J33=2,"Tier 2: Must in 2 sources",IF(J33=1,"Tier 3: Must in 1 source",IF(COUNTIF(M33:V33,"S")&gt;0,"Tier 4: Should only",IF(COUNTIF(M33:V33,"C")&gt;0,"Tier 5: Could only",IF(I33&gt;0,"Tier 6: stated, no priority","Aurigo-only"))))))</f>
        <v>Tier 5: Could only</v>
      </c>
      <c r="M33" s="12"/>
      <c r="N33" s="12"/>
      <c r="O33" s="12"/>
      <c r="P33" s="12"/>
      <c r="Q33" s="12"/>
      <c r="R33" s="12"/>
      <c r="S33" s="12"/>
      <c r="T33" s="12"/>
      <c r="U33" s="12" t="s">
        <v>810</v>
      </c>
      <c r="V33" s="12"/>
      <c r="W33" s="8" t="s">
        <v>2119</v>
      </c>
      <c r="X33" s="8"/>
      <c r="Y33" s="8"/>
    </row>
    <row r="34" customFormat="false" ht="49.5" hidden="false" customHeight="true" outlineLevel="0" collapsed="false">
      <c r="A34" s="12" t="s">
        <v>2120</v>
      </c>
      <c r="B34" s="12" t="s">
        <v>1986</v>
      </c>
      <c r="C34" s="8" t="s">
        <v>2121</v>
      </c>
      <c r="D34" s="8" t="s">
        <v>2122</v>
      </c>
      <c r="E34" s="8" t="s">
        <v>2123</v>
      </c>
      <c r="F34" s="8" t="s">
        <v>2124</v>
      </c>
      <c r="G34" s="8" t="s">
        <v>397</v>
      </c>
      <c r="H34" s="8" t="str">
        <f aca="false">IF(COUNTIF(M34:V34,"M")&gt;0,"Must Have",IF(COUNTIF(M34:V34,"S")&gt;0,"Should Have",IF(COUNTIF(M34:V34,"C")&gt;0,"Could Have",IF(COUNTA(M34:V34)&gt;0,"Stated – no priority","Aurigo-only (no RFP source)"))))</f>
        <v>Could Have</v>
      </c>
      <c r="I34" s="12" t="n">
        <f aca="false">COUNTA(M34:V34)</f>
        <v>2</v>
      </c>
      <c r="J34" s="12" t="n">
        <f aca="false">COUNTIF(M34:V34,"M")</f>
        <v>0</v>
      </c>
      <c r="K34" s="8" t="str">
        <f aca="false">IF(I34=0,"Aurigo-only",IF(I34=1,"Single source",IF(I34=2,"Two sources",IF(I34&lt;=4,"Common (3-4)","Broad (5+)"))))</f>
        <v>Two sources</v>
      </c>
      <c r="L34" s="8" t="str">
        <f aca="false">IF(J34&gt;=3,"Tier 1: Must in 3+ sources",IF(J34=2,"Tier 2: Must in 2 sources",IF(J34=1,"Tier 3: Must in 1 source",IF(COUNTIF(M34:V34,"S")&gt;0,"Tier 4: Should only",IF(COUNTIF(M34:V34,"C")&gt;0,"Tier 5: Could only",IF(I34&gt;0,"Tier 6: stated, no priority","Aurigo-only"))))))</f>
        <v>Tier 5: Could only</v>
      </c>
      <c r="M34" s="12"/>
      <c r="N34" s="12"/>
      <c r="O34" s="12"/>
      <c r="P34" s="12"/>
      <c r="Q34" s="12"/>
      <c r="R34" s="12"/>
      <c r="S34" s="12"/>
      <c r="T34" s="12" t="s">
        <v>195</v>
      </c>
      <c r="U34" s="12" t="s">
        <v>810</v>
      </c>
      <c r="V34" s="12"/>
      <c r="W34" s="8" t="s">
        <v>2125</v>
      </c>
      <c r="X34" s="8" t="s">
        <v>2126</v>
      </c>
      <c r="Y34" s="8"/>
    </row>
    <row r="35" customFormat="false" ht="49.5" hidden="false" customHeight="true" outlineLevel="0" collapsed="false">
      <c r="A35" s="12" t="s">
        <v>2127</v>
      </c>
      <c r="B35" s="12" t="s">
        <v>1986</v>
      </c>
      <c r="C35" s="8" t="s">
        <v>2121</v>
      </c>
      <c r="D35" s="8" t="s">
        <v>2128</v>
      </c>
      <c r="E35" s="8" t="s">
        <v>2129</v>
      </c>
      <c r="F35" s="8" t="s">
        <v>2130</v>
      </c>
      <c r="G35" s="8" t="s">
        <v>193</v>
      </c>
      <c r="H35" s="8" t="str">
        <f aca="false">IF(COUNTIF(M35:V35,"M")&gt;0,"Must Have",IF(COUNTIF(M35:V35,"S")&gt;0,"Should Have",IF(COUNTIF(M35:V35,"C")&gt;0,"Could Have",IF(COUNTA(M35:V35)&gt;0,"Stated – no priority","Aurigo-only (no RFP source)"))))</f>
        <v>Could Have</v>
      </c>
      <c r="I35" s="12" t="n">
        <f aca="false">COUNTA(M35:V35)</f>
        <v>1</v>
      </c>
      <c r="J35" s="12" t="n">
        <f aca="false">COUNTIF(M35:V35,"M")</f>
        <v>0</v>
      </c>
      <c r="K35" s="8" t="str">
        <f aca="false">IF(I35=0,"Aurigo-only",IF(I35=1,"Single source",IF(I35=2,"Two sources",IF(I35&lt;=4,"Common (3-4)","Broad (5+)"))))</f>
        <v>Single source</v>
      </c>
      <c r="L35" s="8" t="str">
        <f aca="false">IF(J35&gt;=3,"Tier 1: Must in 3+ sources",IF(J35=2,"Tier 2: Must in 2 sources",IF(J35=1,"Tier 3: Must in 1 source",IF(COUNTIF(M35:V35,"S")&gt;0,"Tier 4: Should only",IF(COUNTIF(M35:V35,"C")&gt;0,"Tier 5: Could only",IF(I35&gt;0,"Tier 6: stated, no priority","Aurigo-only"))))))</f>
        <v>Tier 5: Could only</v>
      </c>
      <c r="M35" s="12"/>
      <c r="N35" s="12"/>
      <c r="O35" s="12"/>
      <c r="P35" s="12"/>
      <c r="Q35" s="12"/>
      <c r="R35" s="12"/>
      <c r="S35" s="12"/>
      <c r="T35" s="12"/>
      <c r="U35" s="12" t="s">
        <v>810</v>
      </c>
      <c r="V35" s="12"/>
      <c r="W35" s="8" t="s">
        <v>2131</v>
      </c>
      <c r="X35" s="8"/>
      <c r="Y35" s="8"/>
    </row>
    <row r="36" customFormat="false" ht="37.5" hidden="false" customHeight="true" outlineLevel="0" collapsed="false">
      <c r="A36" s="12" t="s">
        <v>2132</v>
      </c>
      <c r="B36" s="12" t="s">
        <v>1986</v>
      </c>
      <c r="C36" s="8" t="s">
        <v>2121</v>
      </c>
      <c r="D36" s="8" t="s">
        <v>397</v>
      </c>
      <c r="E36" s="8" t="s">
        <v>2133</v>
      </c>
      <c r="F36" s="8" t="s">
        <v>2134</v>
      </c>
      <c r="G36" s="8" t="s">
        <v>397</v>
      </c>
      <c r="H36" s="8" t="str">
        <f aca="false">IF(COUNTIF(M36:V36,"M")&gt;0,"Must Have",IF(COUNTIF(M36:V36,"S")&gt;0,"Should Have",IF(COUNTIF(M36:V36,"C")&gt;0,"Could Have",IF(COUNTA(M36:V36)&gt;0,"Stated – no priority","Aurigo-only (no RFP source)"))))</f>
        <v>Could Have</v>
      </c>
      <c r="I36" s="12" t="n">
        <f aca="false">COUNTA(M36:V36)</f>
        <v>1</v>
      </c>
      <c r="J36" s="12" t="n">
        <f aca="false">COUNTIF(M36:V36,"M")</f>
        <v>0</v>
      </c>
      <c r="K36" s="8" t="str">
        <f aca="false">IF(I36=0,"Aurigo-only",IF(I36=1,"Single source",IF(I36=2,"Two sources",IF(I36&lt;=4,"Common (3-4)","Broad (5+)"))))</f>
        <v>Single source</v>
      </c>
      <c r="L36" s="8" t="str">
        <f aca="false">IF(J36&gt;=3,"Tier 1: Must in 3+ sources",IF(J36=2,"Tier 2: Must in 2 sources",IF(J36=1,"Tier 3: Must in 1 source",IF(COUNTIF(M36:V36,"S")&gt;0,"Tier 4: Should only",IF(COUNTIF(M36:V36,"C")&gt;0,"Tier 5: Could only",IF(I36&gt;0,"Tier 6: stated, no priority","Aurigo-only"))))))</f>
        <v>Tier 5: Could only</v>
      </c>
      <c r="M36" s="12"/>
      <c r="N36" s="12"/>
      <c r="O36" s="12"/>
      <c r="P36" s="12"/>
      <c r="Q36" s="12"/>
      <c r="R36" s="12"/>
      <c r="S36" s="12"/>
      <c r="T36" s="12"/>
      <c r="U36" s="12" t="s">
        <v>810</v>
      </c>
      <c r="V36" s="12"/>
      <c r="W36" s="8" t="s">
        <v>2086</v>
      </c>
      <c r="X36" s="8" t="s">
        <v>2135</v>
      </c>
      <c r="Y36" s="8"/>
    </row>
    <row r="37" customFormat="false" ht="75" hidden="false" customHeight="true" outlineLevel="0" collapsed="false">
      <c r="A37" s="12" t="s">
        <v>2136</v>
      </c>
      <c r="B37" s="12" t="s">
        <v>1986</v>
      </c>
      <c r="C37" s="8" t="s">
        <v>2137</v>
      </c>
      <c r="D37" s="8" t="s">
        <v>2138</v>
      </c>
      <c r="E37" s="8" t="s">
        <v>2139</v>
      </c>
      <c r="F37" s="8" t="s">
        <v>2140</v>
      </c>
      <c r="G37" s="8" t="s">
        <v>193</v>
      </c>
      <c r="H37" s="8" t="str">
        <f aca="false">IF(COUNTIF(M37:V37,"M")&gt;0,"Must Have",IF(COUNTIF(M37:V37,"S")&gt;0,"Should Have",IF(COUNTIF(M37:V37,"C")&gt;0,"Could Have",IF(COUNTA(M37:V37)&gt;0,"Stated – no priority","Aurigo-only (no RFP source)"))))</f>
        <v>Must Have</v>
      </c>
      <c r="I37" s="12" t="n">
        <f aca="false">COUNTA(M37:V37)</f>
        <v>3</v>
      </c>
      <c r="J37" s="12" t="n">
        <f aca="false">COUNTIF(M37:V37,"M")</f>
        <v>2</v>
      </c>
      <c r="K37" s="8" t="str">
        <f aca="false">IF(I37=0,"Aurigo-only",IF(I37=1,"Single source",IF(I37=2,"Two sources",IF(I37&lt;=4,"Common (3-4)","Broad (5+)"))))</f>
        <v>Common (3-4)</v>
      </c>
      <c r="L37" s="8" t="str">
        <f aca="false">IF(J37&gt;=3,"Tier 1: Must in 3+ sources",IF(J37=2,"Tier 2: Must in 2 sources",IF(J37=1,"Tier 3: Must in 1 source",IF(COUNTIF(M37:V37,"S")&gt;0,"Tier 4: Should only",IF(COUNTIF(M37:V37,"C")&gt;0,"Tier 5: Could only",IF(I37&gt;0,"Tier 6: stated, no priority","Aurigo-only"))))))</f>
        <v>Tier 2: Must in 2 sources</v>
      </c>
      <c r="M37" s="12"/>
      <c r="N37" s="12"/>
      <c r="O37" s="12"/>
      <c r="P37" s="12"/>
      <c r="Q37" s="12"/>
      <c r="R37" s="12" t="s">
        <v>232</v>
      </c>
      <c r="S37" s="12"/>
      <c r="T37" s="12"/>
      <c r="U37" s="12" t="s">
        <v>194</v>
      </c>
      <c r="V37" s="12" t="s">
        <v>194</v>
      </c>
      <c r="W37" s="8" t="s">
        <v>2141</v>
      </c>
      <c r="X37" s="8" t="s">
        <v>2142</v>
      </c>
      <c r="Y37" s="8"/>
    </row>
    <row r="38" customFormat="false" ht="37.5" hidden="false" customHeight="true" outlineLevel="0" collapsed="false">
      <c r="A38" s="12" t="s">
        <v>2143</v>
      </c>
      <c r="B38" s="12" t="s">
        <v>1986</v>
      </c>
      <c r="C38" s="8" t="s">
        <v>2137</v>
      </c>
      <c r="D38" s="8" t="s">
        <v>2144</v>
      </c>
      <c r="E38" s="8" t="s">
        <v>2145</v>
      </c>
      <c r="F38" s="8" t="s">
        <v>2146</v>
      </c>
      <c r="G38" s="8" t="s">
        <v>193</v>
      </c>
      <c r="H38" s="8" t="str">
        <f aca="false">IF(COUNTIF(M38:V38,"M")&gt;0,"Must Have",IF(COUNTIF(M38:V38,"S")&gt;0,"Should Have",IF(COUNTIF(M38:V38,"C")&gt;0,"Could Have",IF(COUNTA(M38:V38)&gt;0,"Stated – no priority","Aurigo-only (no RFP source)"))))</f>
        <v>Stated – no priority</v>
      </c>
      <c r="I38" s="12" t="n">
        <f aca="false">COUNTA(M38:V38)</f>
        <v>1</v>
      </c>
      <c r="J38" s="12" t="n">
        <f aca="false">COUNTIF(M38:V38,"M")</f>
        <v>0</v>
      </c>
      <c r="K38" s="8" t="str">
        <f aca="false">IF(I38=0,"Aurigo-only",IF(I38=1,"Single source",IF(I38=2,"Two sources",IF(I38&lt;=4,"Common (3-4)","Broad (5+)"))))</f>
        <v>Single source</v>
      </c>
      <c r="L38" s="8" t="str">
        <f aca="false">IF(J38&gt;=3,"Tier 1: Must in 3+ sources",IF(J38=2,"Tier 2: Must in 2 sources",IF(J38=1,"Tier 3: Must in 1 source",IF(COUNTIF(M38:V38,"S")&gt;0,"Tier 4: Should only",IF(COUNTIF(M38:V38,"C")&gt;0,"Tier 5: Could only",IF(I38&gt;0,"Tier 6: stated, no priority","Aurigo-only"))))))</f>
        <v>Tier 6: stated, no priority</v>
      </c>
      <c r="M38" s="12"/>
      <c r="N38" s="12"/>
      <c r="O38" s="12"/>
      <c r="P38" s="12"/>
      <c r="Q38" s="12"/>
      <c r="R38" s="12"/>
      <c r="S38" s="12"/>
      <c r="T38" s="12" t="s">
        <v>195</v>
      </c>
      <c r="U38" s="12"/>
      <c r="V38" s="12"/>
      <c r="W38" s="8" t="s">
        <v>2147</v>
      </c>
      <c r="X38" s="8"/>
      <c r="Y38" s="8"/>
    </row>
    <row r="39" customFormat="false" ht="49.5" hidden="false" customHeight="true" outlineLevel="0" collapsed="false">
      <c r="A39" s="12" t="s">
        <v>2148</v>
      </c>
      <c r="B39" s="12" t="s">
        <v>1986</v>
      </c>
      <c r="C39" s="8" t="s">
        <v>2149</v>
      </c>
      <c r="D39" s="8" t="s">
        <v>711</v>
      </c>
      <c r="E39" s="8" t="s">
        <v>2150</v>
      </c>
      <c r="F39" s="8" t="s">
        <v>2151</v>
      </c>
      <c r="G39" s="8" t="s">
        <v>370</v>
      </c>
      <c r="H39" s="8" t="str">
        <f aca="false">IF(COUNTIF(M39:V39,"M")&gt;0,"Must Have",IF(COUNTIF(M39:V39,"S")&gt;0,"Should Have",IF(COUNTIF(M39:V39,"C")&gt;0,"Could Have",IF(COUNTA(M39:V39)&gt;0,"Stated – no priority","Aurigo-only (no RFP source)"))))</f>
        <v>Must Have</v>
      </c>
      <c r="I39" s="12" t="n">
        <f aca="false">COUNTA(M39:V39)</f>
        <v>1</v>
      </c>
      <c r="J39" s="12" t="n">
        <f aca="false">COUNTIF(M39:V39,"M")</f>
        <v>1</v>
      </c>
      <c r="K39" s="8" t="str">
        <f aca="false">IF(I39=0,"Aurigo-only",IF(I39=1,"Single source",IF(I39=2,"Two sources",IF(I39&lt;=4,"Common (3-4)","Broad (5+)"))))</f>
        <v>Single source</v>
      </c>
      <c r="L39" s="8" t="str">
        <f aca="false">IF(J39&gt;=3,"Tier 1: Must in 3+ sources",IF(J39=2,"Tier 2: Must in 2 sources",IF(J39=1,"Tier 3: Must in 1 source",IF(COUNTIF(M39:V39,"S")&gt;0,"Tier 4: Should only",IF(COUNTIF(M39:V39,"C")&gt;0,"Tier 5: Could only",IF(I39&gt;0,"Tier 6: stated, no priority","Aurigo-only"))))))</f>
        <v>Tier 3: Must in 1 source</v>
      </c>
      <c r="M39" s="12"/>
      <c r="N39" s="12"/>
      <c r="O39" s="12"/>
      <c r="P39" s="12"/>
      <c r="Q39" s="12"/>
      <c r="R39" s="12"/>
      <c r="S39" s="12"/>
      <c r="T39" s="12"/>
      <c r="U39" s="12" t="s">
        <v>194</v>
      </c>
      <c r="V39" s="12"/>
      <c r="W39" s="8" t="s">
        <v>2152</v>
      </c>
      <c r="X39" s="8"/>
      <c r="Y39" s="8"/>
    </row>
    <row r="40" customFormat="false" ht="37.5" hidden="false" customHeight="true" outlineLevel="0" collapsed="false">
      <c r="A40" s="12" t="s">
        <v>2153</v>
      </c>
      <c r="B40" s="12" t="s">
        <v>1986</v>
      </c>
      <c r="C40" s="8" t="s">
        <v>2149</v>
      </c>
      <c r="D40" s="8" t="s">
        <v>711</v>
      </c>
      <c r="E40" s="8" t="s">
        <v>2154</v>
      </c>
      <c r="F40" s="8" t="s">
        <v>2155</v>
      </c>
      <c r="G40" s="8" t="s">
        <v>370</v>
      </c>
      <c r="H40" s="8" t="str">
        <f aca="false">IF(COUNTIF(M40:V40,"M")&gt;0,"Must Have",IF(COUNTIF(M40:V40,"S")&gt;0,"Should Have",IF(COUNTIF(M40:V40,"C")&gt;0,"Could Have",IF(COUNTA(M40:V40)&gt;0,"Stated – no priority","Aurigo-only (no RFP source)"))))</f>
        <v>Could Have</v>
      </c>
      <c r="I40" s="12" t="n">
        <f aca="false">COUNTA(M40:V40)</f>
        <v>1</v>
      </c>
      <c r="J40" s="12" t="n">
        <f aca="false">COUNTIF(M40:V40,"M")</f>
        <v>0</v>
      </c>
      <c r="K40" s="8" t="str">
        <f aca="false">IF(I40=0,"Aurigo-only",IF(I40=1,"Single source",IF(I40=2,"Two sources",IF(I40&lt;=4,"Common (3-4)","Broad (5+)"))))</f>
        <v>Single source</v>
      </c>
      <c r="L40" s="8" t="str">
        <f aca="false">IF(J40&gt;=3,"Tier 1: Must in 3+ sources",IF(J40=2,"Tier 2: Must in 2 sources",IF(J40=1,"Tier 3: Must in 1 source",IF(COUNTIF(M40:V40,"S")&gt;0,"Tier 4: Should only",IF(COUNTIF(M40:V40,"C")&gt;0,"Tier 5: Could only",IF(I40&gt;0,"Tier 6: stated, no priority","Aurigo-only"))))))</f>
        <v>Tier 5: Could only</v>
      </c>
      <c r="M40" s="12"/>
      <c r="N40" s="12"/>
      <c r="O40" s="12"/>
      <c r="P40" s="12"/>
      <c r="Q40" s="12"/>
      <c r="R40" s="12"/>
      <c r="S40" s="12"/>
      <c r="T40" s="12"/>
      <c r="U40" s="12" t="s">
        <v>810</v>
      </c>
      <c r="V40" s="12"/>
      <c r="W40" s="8" t="s">
        <v>2156</v>
      </c>
      <c r="X40" s="8"/>
      <c r="Y40" s="8"/>
    </row>
    <row r="41" customFormat="false" ht="24.75" hidden="false" customHeight="true" outlineLevel="0" collapsed="false">
      <c r="A41" s="12" t="s">
        <v>2157</v>
      </c>
      <c r="B41" s="12" t="s">
        <v>1986</v>
      </c>
      <c r="C41" s="8" t="s">
        <v>2158</v>
      </c>
      <c r="D41" s="8" t="s">
        <v>2159</v>
      </c>
      <c r="E41" s="8" t="s">
        <v>2160</v>
      </c>
      <c r="F41" s="8" t="s">
        <v>2161</v>
      </c>
      <c r="G41" s="8" t="s">
        <v>403</v>
      </c>
      <c r="H41" s="8" t="str">
        <f aca="false">IF(COUNTIF(M41:V41,"M")&gt;0,"Must Have",IF(COUNTIF(M41:V41,"S")&gt;0,"Should Have",IF(COUNTIF(M41:V41,"C")&gt;0,"Could Have",IF(COUNTA(M41:V41)&gt;0,"Stated – no priority","Aurigo-only (no RFP source)"))))</f>
        <v>Must Have</v>
      </c>
      <c r="I41" s="12" t="n">
        <f aca="false">COUNTA(M41:V41)</f>
        <v>1</v>
      </c>
      <c r="J41" s="12" t="n">
        <f aca="false">COUNTIF(M41:V41,"M")</f>
        <v>1</v>
      </c>
      <c r="K41" s="8" t="str">
        <f aca="false">IF(I41=0,"Aurigo-only",IF(I41=1,"Single source",IF(I41=2,"Two sources",IF(I41&lt;=4,"Common (3-4)","Broad (5+)"))))</f>
        <v>Single source</v>
      </c>
      <c r="L41" s="8" t="str">
        <f aca="false">IF(J41&gt;=3,"Tier 1: Must in 3+ sources",IF(J41=2,"Tier 2: Must in 2 sources",IF(J41=1,"Tier 3: Must in 1 source",IF(COUNTIF(M41:V41,"S")&gt;0,"Tier 4: Should only",IF(COUNTIF(M41:V41,"C")&gt;0,"Tier 5: Could only",IF(I41&gt;0,"Tier 6: stated, no priority","Aurigo-only"))))))</f>
        <v>Tier 3: Must in 1 source</v>
      </c>
      <c r="M41" s="12"/>
      <c r="N41" s="12"/>
      <c r="O41" s="12"/>
      <c r="P41" s="12"/>
      <c r="Q41" s="12"/>
      <c r="R41" s="12"/>
      <c r="S41" s="12"/>
      <c r="T41" s="12"/>
      <c r="U41" s="12"/>
      <c r="V41" s="12" t="s">
        <v>194</v>
      </c>
      <c r="W41" s="8" t="s">
        <v>2162</v>
      </c>
      <c r="X41" s="8"/>
      <c r="Y41" s="8"/>
    </row>
    <row r="42" customFormat="false" ht="49.5" hidden="false" customHeight="true" outlineLevel="0" collapsed="false">
      <c r="A42" s="12" t="s">
        <v>2163</v>
      </c>
      <c r="B42" s="12" t="s">
        <v>1986</v>
      </c>
      <c r="C42" s="8" t="s">
        <v>2158</v>
      </c>
      <c r="D42" s="8" t="s">
        <v>2164</v>
      </c>
      <c r="E42" s="8" t="s">
        <v>2165</v>
      </c>
      <c r="F42" s="8" t="s">
        <v>2166</v>
      </c>
      <c r="G42" s="8" t="s">
        <v>403</v>
      </c>
      <c r="H42" s="8" t="str">
        <f aca="false">IF(COUNTIF(M42:V42,"M")&gt;0,"Must Have",IF(COUNTIF(M42:V42,"S")&gt;0,"Should Have",IF(COUNTIF(M42:V42,"C")&gt;0,"Could Have",IF(COUNTA(M42:V42)&gt;0,"Stated – no priority","Aurigo-only (no RFP source)"))))</f>
        <v>Must Have</v>
      </c>
      <c r="I42" s="12" t="n">
        <f aca="false">COUNTA(M42:V42)</f>
        <v>1</v>
      </c>
      <c r="J42" s="12" t="n">
        <f aca="false">COUNTIF(M42:V42,"M")</f>
        <v>1</v>
      </c>
      <c r="K42" s="8" t="str">
        <f aca="false">IF(I42=0,"Aurigo-only",IF(I42=1,"Single source",IF(I42=2,"Two sources",IF(I42&lt;=4,"Common (3-4)","Broad (5+)"))))</f>
        <v>Single source</v>
      </c>
      <c r="L42" s="8" t="str">
        <f aca="false">IF(J42&gt;=3,"Tier 1: Must in 3+ sources",IF(J42=2,"Tier 2: Must in 2 sources",IF(J42=1,"Tier 3: Must in 1 source",IF(COUNTIF(M42:V42,"S")&gt;0,"Tier 4: Should only",IF(COUNTIF(M42:V42,"C")&gt;0,"Tier 5: Could only",IF(I42&gt;0,"Tier 6: stated, no priority","Aurigo-only"))))))</f>
        <v>Tier 3: Must in 1 source</v>
      </c>
      <c r="M42" s="12"/>
      <c r="N42" s="12"/>
      <c r="O42" s="12"/>
      <c r="P42" s="12"/>
      <c r="Q42" s="12"/>
      <c r="R42" s="12"/>
      <c r="S42" s="12"/>
      <c r="T42" s="12"/>
      <c r="U42" s="12"/>
      <c r="V42" s="12" t="s">
        <v>194</v>
      </c>
      <c r="W42" s="8" t="s">
        <v>2167</v>
      </c>
      <c r="X42" s="8"/>
      <c r="Y42" s="8" t="s">
        <v>2168</v>
      </c>
    </row>
    <row r="43" customFormat="false" ht="37.5" hidden="false" customHeight="true" outlineLevel="0" collapsed="false">
      <c r="A43" s="12" t="s">
        <v>2169</v>
      </c>
      <c r="B43" s="12" t="s">
        <v>1986</v>
      </c>
      <c r="C43" s="8" t="s">
        <v>2158</v>
      </c>
      <c r="D43" s="8" t="s">
        <v>2164</v>
      </c>
      <c r="E43" s="8" t="s">
        <v>2170</v>
      </c>
      <c r="F43" s="8" t="s">
        <v>2171</v>
      </c>
      <c r="G43" s="8" t="s">
        <v>403</v>
      </c>
      <c r="H43" s="8" t="str">
        <f aca="false">IF(COUNTIF(M43:V43,"M")&gt;0,"Must Have",IF(COUNTIF(M43:V43,"S")&gt;0,"Should Have",IF(COUNTIF(M43:V43,"C")&gt;0,"Could Have",IF(COUNTA(M43:V43)&gt;0,"Stated – no priority","Aurigo-only (no RFP source)"))))</f>
        <v>Must Have</v>
      </c>
      <c r="I43" s="12" t="n">
        <f aca="false">COUNTA(M43:V43)</f>
        <v>1</v>
      </c>
      <c r="J43" s="12" t="n">
        <f aca="false">COUNTIF(M43:V43,"M")</f>
        <v>1</v>
      </c>
      <c r="K43" s="8" t="str">
        <f aca="false">IF(I43=0,"Aurigo-only",IF(I43=1,"Single source",IF(I43=2,"Two sources",IF(I43&lt;=4,"Common (3-4)","Broad (5+)"))))</f>
        <v>Single source</v>
      </c>
      <c r="L43" s="8" t="str">
        <f aca="false">IF(J43&gt;=3,"Tier 1: Must in 3+ sources",IF(J43=2,"Tier 2: Must in 2 sources",IF(J43=1,"Tier 3: Must in 1 source",IF(COUNTIF(M43:V43,"S")&gt;0,"Tier 4: Should only",IF(COUNTIF(M43:V43,"C")&gt;0,"Tier 5: Could only",IF(I43&gt;0,"Tier 6: stated, no priority","Aurigo-only"))))))</f>
        <v>Tier 3: Must in 1 source</v>
      </c>
      <c r="M43" s="12"/>
      <c r="N43" s="12"/>
      <c r="O43" s="12"/>
      <c r="P43" s="12"/>
      <c r="Q43" s="12"/>
      <c r="R43" s="12"/>
      <c r="S43" s="12"/>
      <c r="T43" s="12"/>
      <c r="U43" s="12"/>
      <c r="V43" s="12" t="s">
        <v>194</v>
      </c>
      <c r="W43" s="8" t="s">
        <v>2172</v>
      </c>
      <c r="X43" s="8"/>
      <c r="Y43" s="8"/>
    </row>
    <row r="44" customFormat="false" ht="24.75" hidden="false" customHeight="true" outlineLevel="0" collapsed="false">
      <c r="A44" s="12" t="s">
        <v>2173</v>
      </c>
      <c r="B44" s="12" t="s">
        <v>1986</v>
      </c>
      <c r="C44" s="8" t="s">
        <v>2158</v>
      </c>
      <c r="D44" s="8" t="s">
        <v>2164</v>
      </c>
      <c r="E44" s="8" t="s">
        <v>2174</v>
      </c>
      <c r="F44" s="8" t="s">
        <v>2175</v>
      </c>
      <c r="G44" s="8" t="s">
        <v>403</v>
      </c>
      <c r="H44" s="8" t="str">
        <f aca="false">IF(COUNTIF(M44:V44,"M")&gt;0,"Must Have",IF(COUNTIF(M44:V44,"S")&gt;0,"Should Have",IF(COUNTIF(M44:V44,"C")&gt;0,"Could Have",IF(COUNTA(M44:V44)&gt;0,"Stated – no priority","Aurigo-only (no RFP source)"))))</f>
        <v>Must Have</v>
      </c>
      <c r="I44" s="12" t="n">
        <f aca="false">COUNTA(M44:V44)</f>
        <v>1</v>
      </c>
      <c r="J44" s="12" t="n">
        <f aca="false">COUNTIF(M44:V44,"M")</f>
        <v>1</v>
      </c>
      <c r="K44" s="8" t="str">
        <f aca="false">IF(I44=0,"Aurigo-only",IF(I44=1,"Single source",IF(I44=2,"Two sources",IF(I44&lt;=4,"Common (3-4)","Broad (5+)"))))</f>
        <v>Single source</v>
      </c>
      <c r="L44" s="8" t="str">
        <f aca="false">IF(J44&gt;=3,"Tier 1: Must in 3+ sources",IF(J44=2,"Tier 2: Must in 2 sources",IF(J44=1,"Tier 3: Must in 1 source",IF(COUNTIF(M44:V44,"S")&gt;0,"Tier 4: Should only",IF(COUNTIF(M44:V44,"C")&gt;0,"Tier 5: Could only",IF(I44&gt;0,"Tier 6: stated, no priority","Aurigo-only"))))))</f>
        <v>Tier 3: Must in 1 source</v>
      </c>
      <c r="M44" s="12"/>
      <c r="N44" s="12"/>
      <c r="O44" s="12"/>
      <c r="P44" s="12"/>
      <c r="Q44" s="12"/>
      <c r="R44" s="12"/>
      <c r="S44" s="12"/>
      <c r="T44" s="12"/>
      <c r="U44" s="12"/>
      <c r="V44" s="12" t="s">
        <v>194</v>
      </c>
      <c r="W44" s="8" t="s">
        <v>2176</v>
      </c>
      <c r="X44" s="8"/>
      <c r="Y44" s="8"/>
    </row>
    <row r="45" customFormat="false" ht="24.75" hidden="false" customHeight="true" outlineLevel="0" collapsed="false">
      <c r="A45" s="12" t="s">
        <v>2177</v>
      </c>
      <c r="B45" s="12" t="s">
        <v>1986</v>
      </c>
      <c r="C45" s="8" t="s">
        <v>2158</v>
      </c>
      <c r="D45" s="8" t="s">
        <v>2164</v>
      </c>
      <c r="E45" s="8" t="s">
        <v>2178</v>
      </c>
      <c r="F45" s="8" t="s">
        <v>2179</v>
      </c>
      <c r="G45" s="8" t="s">
        <v>193</v>
      </c>
      <c r="H45" s="8" t="str">
        <f aca="false">IF(COUNTIF(M45:V45,"M")&gt;0,"Must Have",IF(COUNTIF(M45:V45,"S")&gt;0,"Should Have",IF(COUNTIF(M45:V45,"C")&gt;0,"Could Have",IF(COUNTA(M45:V45)&gt;0,"Stated – no priority","Aurigo-only (no RFP source)"))))</f>
        <v>Must Have</v>
      </c>
      <c r="I45" s="12" t="n">
        <f aca="false">COUNTA(M45:V45)</f>
        <v>1</v>
      </c>
      <c r="J45" s="12" t="n">
        <f aca="false">COUNTIF(M45:V45,"M")</f>
        <v>1</v>
      </c>
      <c r="K45" s="8" t="str">
        <f aca="false">IF(I45=0,"Aurigo-only",IF(I45=1,"Single source",IF(I45=2,"Two sources",IF(I45&lt;=4,"Common (3-4)","Broad (5+)"))))</f>
        <v>Single source</v>
      </c>
      <c r="L45" s="8" t="str">
        <f aca="false">IF(J45&gt;=3,"Tier 1: Must in 3+ sources",IF(J45=2,"Tier 2: Must in 2 sources",IF(J45=1,"Tier 3: Must in 1 source",IF(COUNTIF(M45:V45,"S")&gt;0,"Tier 4: Should only",IF(COUNTIF(M45:V45,"C")&gt;0,"Tier 5: Could only",IF(I45&gt;0,"Tier 6: stated, no priority","Aurigo-only"))))))</f>
        <v>Tier 3: Must in 1 source</v>
      </c>
      <c r="M45" s="12"/>
      <c r="N45" s="12"/>
      <c r="O45" s="12"/>
      <c r="P45" s="12"/>
      <c r="Q45" s="12"/>
      <c r="R45" s="12"/>
      <c r="S45" s="12"/>
      <c r="T45" s="12"/>
      <c r="U45" s="12"/>
      <c r="V45" s="12" t="s">
        <v>194</v>
      </c>
      <c r="W45" s="8" t="s">
        <v>2180</v>
      </c>
      <c r="X45" s="8"/>
      <c r="Y45" s="8"/>
    </row>
    <row r="46" customFormat="false" ht="37.5" hidden="false" customHeight="true" outlineLevel="0" collapsed="false">
      <c r="A46" s="12" t="s">
        <v>2181</v>
      </c>
      <c r="B46" s="12" t="s">
        <v>1986</v>
      </c>
      <c r="C46" s="8" t="s">
        <v>2182</v>
      </c>
      <c r="D46" s="8" t="s">
        <v>2183</v>
      </c>
      <c r="E46" s="8" t="s">
        <v>2184</v>
      </c>
      <c r="F46" s="8" t="s">
        <v>2185</v>
      </c>
      <c r="G46" s="8" t="s">
        <v>397</v>
      </c>
      <c r="H46" s="8" t="str">
        <f aca="false">IF(COUNTIF(M46:V46,"M")&gt;0,"Must Have",IF(COUNTIF(M46:V46,"S")&gt;0,"Should Have",IF(COUNTIF(M46:V46,"C")&gt;0,"Could Have",IF(COUNTA(M46:V46)&gt;0,"Stated – no priority","Aurigo-only (no RFP source)"))))</f>
        <v>Must Have</v>
      </c>
      <c r="I46" s="12" t="n">
        <f aca="false">COUNTA(M46:V46)</f>
        <v>1</v>
      </c>
      <c r="J46" s="12" t="n">
        <f aca="false">COUNTIF(M46:V46,"M")</f>
        <v>1</v>
      </c>
      <c r="K46" s="8" t="str">
        <f aca="false">IF(I46=0,"Aurigo-only",IF(I46=1,"Single source",IF(I46=2,"Two sources",IF(I46&lt;=4,"Common (3-4)","Broad (5+)"))))</f>
        <v>Single source</v>
      </c>
      <c r="L46" s="8" t="str">
        <f aca="false">IF(J46&gt;=3,"Tier 1: Must in 3+ sources",IF(J46=2,"Tier 2: Must in 2 sources",IF(J46=1,"Tier 3: Must in 1 source",IF(COUNTIF(M46:V46,"S")&gt;0,"Tier 4: Should only",IF(COUNTIF(M46:V46,"C")&gt;0,"Tier 5: Could only",IF(I46&gt;0,"Tier 6: stated, no priority","Aurigo-only"))))))</f>
        <v>Tier 3: Must in 1 source</v>
      </c>
      <c r="M46" s="12"/>
      <c r="N46" s="12"/>
      <c r="O46" s="12"/>
      <c r="P46" s="12"/>
      <c r="Q46" s="12"/>
      <c r="R46" s="12"/>
      <c r="S46" s="12"/>
      <c r="T46" s="12"/>
      <c r="U46" s="12"/>
      <c r="V46" s="12" t="s">
        <v>194</v>
      </c>
      <c r="W46" s="8" t="s">
        <v>2186</v>
      </c>
      <c r="X46" s="8" t="s">
        <v>2187</v>
      </c>
      <c r="Y46" s="8"/>
    </row>
    <row r="47" customFormat="false" ht="24.75" hidden="false" customHeight="true" outlineLevel="0" collapsed="false">
      <c r="A47" s="12" t="s">
        <v>2188</v>
      </c>
      <c r="B47" s="12" t="s">
        <v>1986</v>
      </c>
      <c r="C47" s="8" t="s">
        <v>2182</v>
      </c>
      <c r="D47" s="8" t="s">
        <v>2183</v>
      </c>
      <c r="E47" s="8" t="s">
        <v>2189</v>
      </c>
      <c r="F47" s="8" t="s">
        <v>2190</v>
      </c>
      <c r="G47" s="8" t="s">
        <v>397</v>
      </c>
      <c r="H47" s="8" t="str">
        <f aca="false">IF(COUNTIF(M47:V47,"M")&gt;0,"Must Have",IF(COUNTIF(M47:V47,"S")&gt;0,"Should Have",IF(COUNTIF(M47:V47,"C")&gt;0,"Could Have",IF(COUNTA(M47:V47)&gt;0,"Stated – no priority","Aurigo-only (no RFP source)"))))</f>
        <v>Must Have</v>
      </c>
      <c r="I47" s="12" t="n">
        <f aca="false">COUNTA(M47:V47)</f>
        <v>1</v>
      </c>
      <c r="J47" s="12" t="n">
        <f aca="false">COUNTIF(M47:V47,"M")</f>
        <v>1</v>
      </c>
      <c r="K47" s="8" t="str">
        <f aca="false">IF(I47=0,"Aurigo-only",IF(I47=1,"Single source",IF(I47=2,"Two sources",IF(I47&lt;=4,"Common (3-4)","Broad (5+)"))))</f>
        <v>Single source</v>
      </c>
      <c r="L47" s="8" t="str">
        <f aca="false">IF(J47&gt;=3,"Tier 1: Must in 3+ sources",IF(J47=2,"Tier 2: Must in 2 sources",IF(J47=1,"Tier 3: Must in 1 source",IF(COUNTIF(M47:V47,"S")&gt;0,"Tier 4: Should only",IF(COUNTIF(M47:V47,"C")&gt;0,"Tier 5: Could only",IF(I47&gt;0,"Tier 6: stated, no priority","Aurigo-only"))))))</f>
        <v>Tier 3: Must in 1 source</v>
      </c>
      <c r="M47" s="12"/>
      <c r="N47" s="12"/>
      <c r="O47" s="12"/>
      <c r="P47" s="12"/>
      <c r="Q47" s="12"/>
      <c r="R47" s="12"/>
      <c r="S47" s="12"/>
      <c r="T47" s="12"/>
      <c r="U47" s="12"/>
      <c r="V47" s="12" t="s">
        <v>194</v>
      </c>
      <c r="W47" s="8" t="s">
        <v>2191</v>
      </c>
      <c r="X47" s="8"/>
      <c r="Y47" s="8"/>
    </row>
    <row r="48" customFormat="false" ht="24.75" hidden="false" customHeight="true" outlineLevel="0" collapsed="false">
      <c r="A48" s="12" t="s">
        <v>2192</v>
      </c>
      <c r="B48" s="12" t="s">
        <v>1986</v>
      </c>
      <c r="C48" s="8" t="s">
        <v>2182</v>
      </c>
      <c r="D48" s="8" t="s">
        <v>2183</v>
      </c>
      <c r="E48" s="8" t="s">
        <v>2193</v>
      </c>
      <c r="F48" s="8" t="s">
        <v>2194</v>
      </c>
      <c r="G48" s="8" t="s">
        <v>193</v>
      </c>
      <c r="H48" s="8" t="str">
        <f aca="false">IF(COUNTIF(M48:V48,"M")&gt;0,"Must Have",IF(COUNTIF(M48:V48,"S")&gt;0,"Should Have",IF(COUNTIF(M48:V48,"C")&gt;0,"Could Have",IF(COUNTA(M48:V48)&gt;0,"Stated – no priority","Aurigo-only (no RFP source)"))))</f>
        <v>Must Have</v>
      </c>
      <c r="I48" s="12" t="n">
        <f aca="false">COUNTA(M48:V48)</f>
        <v>1</v>
      </c>
      <c r="J48" s="12" t="n">
        <f aca="false">COUNTIF(M48:V48,"M")</f>
        <v>1</v>
      </c>
      <c r="K48" s="8" t="str">
        <f aca="false">IF(I48=0,"Aurigo-only",IF(I48=1,"Single source",IF(I48=2,"Two sources",IF(I48&lt;=4,"Common (3-4)","Broad (5+)"))))</f>
        <v>Single source</v>
      </c>
      <c r="L48" s="8" t="str">
        <f aca="false">IF(J48&gt;=3,"Tier 1: Must in 3+ sources",IF(J48=2,"Tier 2: Must in 2 sources",IF(J48=1,"Tier 3: Must in 1 source",IF(COUNTIF(M48:V48,"S")&gt;0,"Tier 4: Should only",IF(COUNTIF(M48:V48,"C")&gt;0,"Tier 5: Could only",IF(I48&gt;0,"Tier 6: stated, no priority","Aurigo-only"))))))</f>
        <v>Tier 3: Must in 1 source</v>
      </c>
      <c r="M48" s="12"/>
      <c r="N48" s="12"/>
      <c r="O48" s="12"/>
      <c r="P48" s="12"/>
      <c r="Q48" s="12"/>
      <c r="R48" s="12"/>
      <c r="S48" s="12"/>
      <c r="T48" s="12"/>
      <c r="U48" s="12"/>
      <c r="V48" s="12" t="s">
        <v>194</v>
      </c>
      <c r="W48" s="8" t="s">
        <v>2195</v>
      </c>
      <c r="X48" s="8"/>
      <c r="Y48" s="8"/>
    </row>
    <row r="49" customFormat="false" ht="24.75" hidden="false" customHeight="true" outlineLevel="0" collapsed="false">
      <c r="A49" s="12" t="s">
        <v>2196</v>
      </c>
      <c r="B49" s="12" t="s">
        <v>1986</v>
      </c>
      <c r="C49" s="8" t="s">
        <v>1421</v>
      </c>
      <c r="D49" s="8" t="s">
        <v>1446</v>
      </c>
      <c r="E49" s="8" t="s">
        <v>2197</v>
      </c>
      <c r="F49" s="8" t="s">
        <v>2198</v>
      </c>
      <c r="G49" s="8" t="s">
        <v>193</v>
      </c>
      <c r="H49" s="8" t="str">
        <f aca="false">IF(COUNTIF(M49:V49,"M")&gt;0,"Must Have",IF(COUNTIF(M49:V49,"S")&gt;0,"Should Have",IF(COUNTIF(M49:V49,"C")&gt;0,"Could Have",IF(COUNTA(M49:V49)&gt;0,"Stated – no priority","Aurigo-only (no RFP source)"))))</f>
        <v>Could Have</v>
      </c>
      <c r="I49" s="12" t="n">
        <f aca="false">COUNTA(M49:V49)</f>
        <v>1</v>
      </c>
      <c r="J49" s="12" t="n">
        <f aca="false">COUNTIF(M49:V49,"M")</f>
        <v>0</v>
      </c>
      <c r="K49" s="8" t="str">
        <f aca="false">IF(I49=0,"Aurigo-only",IF(I49=1,"Single source",IF(I49=2,"Two sources",IF(I49&lt;=4,"Common (3-4)","Broad (5+)"))))</f>
        <v>Single source</v>
      </c>
      <c r="L49" s="8" t="str">
        <f aca="false">IF(J49&gt;=3,"Tier 1: Must in 3+ sources",IF(J49=2,"Tier 2: Must in 2 sources",IF(J49=1,"Tier 3: Must in 1 source",IF(COUNTIF(M49:V49,"S")&gt;0,"Tier 4: Should only",IF(COUNTIF(M49:V49,"C")&gt;0,"Tier 5: Could only",IF(I49&gt;0,"Tier 6: stated, no priority","Aurigo-only"))))))</f>
        <v>Tier 5: Could only</v>
      </c>
      <c r="M49" s="12"/>
      <c r="N49" s="12"/>
      <c r="O49" s="12"/>
      <c r="P49" s="12"/>
      <c r="Q49" s="12"/>
      <c r="R49" s="12"/>
      <c r="S49" s="12"/>
      <c r="T49" s="12"/>
      <c r="U49" s="12" t="s">
        <v>810</v>
      </c>
      <c r="V49" s="12"/>
      <c r="W49" s="8" t="s">
        <v>2199</v>
      </c>
      <c r="X49" s="8"/>
      <c r="Y49" s="8"/>
    </row>
  </sheetData>
  <autoFilter ref="A3:Y49"/>
  <mergeCells count="2">
    <mergeCell ref="A1:L1"/>
    <mergeCell ref="A2:L2"/>
  </mergeCells>
  <conditionalFormatting sqref="M4:V49">
    <cfRule type="cellIs" priority="2" operator="equal" aboveAverage="0" equalAverage="0" bottom="0" percent="0" rank="0" text="" dxfId="9">
      <formula>"M"</formula>
    </cfRule>
    <cfRule type="cellIs" priority="3" operator="equal" aboveAverage="0" equalAverage="0" bottom="0" percent="0" rank="0" text="" dxfId="10">
      <formula>"S"</formula>
    </cfRule>
    <cfRule type="cellIs" priority="4" operator="equal" aboveAverage="0" equalAverage="0" bottom="0" percent="0" rank="0" text="" dxfId="11">
      <formula>"C"</formula>
    </cfRule>
    <cfRule type="cellIs" priority="5" operator="equal" aboveAverage="0" equalAverage="0" bottom="0" percent="0" rank="0" text="" dxfId="12">
      <formula>"E"</formula>
    </cfRule>
  </conditionalFormatting>
  <conditionalFormatting sqref="H4:H49">
    <cfRule type="cellIs" priority="6" operator="equal" aboveAverage="0" equalAverage="0" bottom="0" percent="0" rank="0" text="" dxfId="9">
      <formula>"Must Have"</formula>
    </cfRule>
    <cfRule type="cellIs" priority="7" operator="equal" aboveAverage="0" equalAverage="0" bottom="0" percent="0" rank="0" text="" dxfId="10">
      <formula>"Should Have"</formula>
    </cfRule>
    <cfRule type="cellIs" priority="8" operator="equal" aboveAverage="0" equalAverage="0" bottom="0" percent="0" rank="0" text="" dxfId="11">
      <formula>"Could Have"</formula>
    </cfRule>
    <cfRule type="cellIs" priority="9" operator="equal" aboveAverage="0" equalAverage="0" bottom="0" percent="0" rank="0" text="" dxfId="12">
      <formula>"Stated – no priority"</formula>
    </cfRule>
    <cfRule type="cellIs" priority="10" operator="equal" aboveAverage="0" equalAverage="0" bottom="0" percent="0" rank="0" text="" dxfId="13">
      <formula>"Aurigo-only (no RFP source)"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6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328125" defaultRowHeight="14.25" zeroHeight="false" outlineLevelRow="0" outlineLevelCol="0"/>
  <cols>
    <col collapsed="false" customWidth="true" hidden="false" outlineLevel="0" max="1" min="1" style="0" width="10"/>
    <col collapsed="false" customWidth="true" hidden="false" outlineLevel="0" max="2" min="2" style="0" width="38"/>
    <col collapsed="false" customWidth="true" hidden="false" outlineLevel="0" max="3" min="3" style="0" width="18"/>
    <col collapsed="false" customWidth="true" hidden="false" outlineLevel="0" max="4" min="4" style="0" width="8"/>
    <col collapsed="false" customWidth="true" hidden="false" outlineLevel="0" max="6" min="5" style="0" width="34"/>
    <col collapsed="false" customWidth="true" hidden="false" outlineLevel="0" max="7" min="7" style="0" width="28"/>
    <col collapsed="false" customWidth="true" hidden="false" outlineLevel="0" max="8" min="8" style="0" width="6"/>
    <col collapsed="false" customWidth="true" hidden="false" outlineLevel="0" max="9" min="9" style="0" width="22"/>
    <col collapsed="false" customWidth="true" hidden="false" outlineLevel="0" max="10" min="10" style="0" width="110"/>
    <col collapsed="false" customWidth="true" hidden="false" outlineLevel="0" max="11" min="11" style="0" width="26"/>
  </cols>
  <sheetData>
    <row r="1" customFormat="false" ht="42" hidden="false" customHeight="true" outlineLevel="0" collapsed="false">
      <c r="A1" s="6" t="s">
        <v>160</v>
      </c>
      <c r="B1" s="6" t="s">
        <v>164</v>
      </c>
      <c r="C1" s="6" t="s">
        <v>2200</v>
      </c>
      <c r="D1" s="6" t="s">
        <v>2201</v>
      </c>
      <c r="E1" s="6" t="s">
        <v>2202</v>
      </c>
      <c r="F1" s="6" t="s">
        <v>2203</v>
      </c>
      <c r="G1" s="6" t="s">
        <v>2204</v>
      </c>
      <c r="H1" s="6" t="s">
        <v>2205</v>
      </c>
      <c r="I1" s="6" t="s">
        <v>2206</v>
      </c>
      <c r="J1" s="6" t="s">
        <v>2207</v>
      </c>
      <c r="K1" s="6" t="s">
        <v>2208</v>
      </c>
    </row>
    <row r="2" customFormat="false" ht="24.75" hidden="false" customHeight="true" outlineLevel="0" collapsed="false">
      <c r="A2" s="12" t="s">
        <v>187</v>
      </c>
      <c r="B2" s="8" t="s">
        <v>191</v>
      </c>
      <c r="C2" s="8" t="s">
        <v>2209</v>
      </c>
      <c r="D2" s="12" t="s">
        <v>172</v>
      </c>
      <c r="E2" s="8" t="s">
        <v>2210</v>
      </c>
      <c r="F2" s="8" t="s">
        <v>2211</v>
      </c>
      <c r="G2" s="8" t="s">
        <v>2212</v>
      </c>
      <c r="H2" s="12" t="s">
        <v>194</v>
      </c>
      <c r="I2" s="8" t="s">
        <v>2213</v>
      </c>
      <c r="J2" s="8" t="s">
        <v>2214</v>
      </c>
      <c r="K2" s="8" t="s">
        <v>2215</v>
      </c>
    </row>
    <row r="3" customFormat="false" ht="24.75" hidden="false" customHeight="true" outlineLevel="0" collapsed="false">
      <c r="A3" s="12" t="s">
        <v>187</v>
      </c>
      <c r="B3" s="8" t="s">
        <v>191</v>
      </c>
      <c r="C3" s="8" t="s">
        <v>2209</v>
      </c>
      <c r="D3" s="12" t="s">
        <v>174</v>
      </c>
      <c r="E3" s="8" t="s">
        <v>2216</v>
      </c>
      <c r="F3" s="8" t="s">
        <v>2217</v>
      </c>
      <c r="G3" s="8" t="s">
        <v>2218</v>
      </c>
      <c r="H3" s="12" t="s">
        <v>195</v>
      </c>
      <c r="I3" s="8" t="s">
        <v>2213</v>
      </c>
      <c r="J3" s="8" t="s">
        <v>2219</v>
      </c>
      <c r="K3" s="8" t="s">
        <v>2215</v>
      </c>
    </row>
    <row r="4" customFormat="false" ht="24.75" hidden="false" customHeight="true" outlineLevel="0" collapsed="false">
      <c r="A4" s="12" t="s">
        <v>200</v>
      </c>
      <c r="B4" s="8" t="s">
        <v>201</v>
      </c>
      <c r="C4" s="8" t="s">
        <v>2209</v>
      </c>
      <c r="D4" s="12" t="s">
        <v>172</v>
      </c>
      <c r="E4" s="8" t="s">
        <v>2210</v>
      </c>
      <c r="F4" s="8" t="s">
        <v>2211</v>
      </c>
      <c r="G4" s="8" t="s">
        <v>2212</v>
      </c>
      <c r="H4" s="12" t="s">
        <v>194</v>
      </c>
      <c r="I4" s="8" t="s">
        <v>2213</v>
      </c>
      <c r="J4" s="8" t="s">
        <v>2220</v>
      </c>
      <c r="K4" s="8" t="s">
        <v>2215</v>
      </c>
    </row>
    <row r="5" customFormat="false" ht="14.25" hidden="false" customHeight="false" outlineLevel="0" collapsed="false">
      <c r="A5" s="12" t="s">
        <v>206</v>
      </c>
      <c r="B5" s="8" t="s">
        <v>207</v>
      </c>
      <c r="C5" s="8" t="s">
        <v>2209</v>
      </c>
      <c r="D5" s="12" t="s">
        <v>171</v>
      </c>
      <c r="E5" s="8" t="s">
        <v>2221</v>
      </c>
      <c r="F5" s="8" t="s">
        <v>2222</v>
      </c>
      <c r="G5" s="8" t="s">
        <v>2223</v>
      </c>
      <c r="H5" s="12" t="s">
        <v>194</v>
      </c>
      <c r="I5" s="8" t="s">
        <v>2213</v>
      </c>
      <c r="J5" s="8" t="s">
        <v>2224</v>
      </c>
      <c r="K5" s="8" t="s">
        <v>2215</v>
      </c>
    </row>
    <row r="6" customFormat="false" ht="24.75" hidden="false" customHeight="true" outlineLevel="0" collapsed="false">
      <c r="A6" s="12" t="s">
        <v>206</v>
      </c>
      <c r="B6" s="8" t="s">
        <v>207</v>
      </c>
      <c r="C6" s="8" t="s">
        <v>2209</v>
      </c>
      <c r="D6" s="12" t="s">
        <v>171</v>
      </c>
      <c r="E6" s="8" t="s">
        <v>2221</v>
      </c>
      <c r="F6" s="8" t="s">
        <v>2225</v>
      </c>
      <c r="G6" s="8" t="s">
        <v>2223</v>
      </c>
      <c r="H6" s="12" t="s">
        <v>194</v>
      </c>
      <c r="I6" s="8" t="s">
        <v>2213</v>
      </c>
      <c r="J6" s="8" t="s">
        <v>2226</v>
      </c>
      <c r="K6" s="8" t="s">
        <v>2215</v>
      </c>
    </row>
    <row r="7" customFormat="false" ht="14.25" hidden="false" customHeight="false" outlineLevel="0" collapsed="false">
      <c r="A7" s="12" t="s">
        <v>206</v>
      </c>
      <c r="B7" s="8" t="s">
        <v>207</v>
      </c>
      <c r="C7" s="8" t="s">
        <v>2209</v>
      </c>
      <c r="D7" s="12" t="s">
        <v>172</v>
      </c>
      <c r="E7" s="8" t="s">
        <v>2210</v>
      </c>
      <c r="F7" s="8" t="s">
        <v>2227</v>
      </c>
      <c r="G7" s="8" t="s">
        <v>2212</v>
      </c>
      <c r="H7" s="12" t="s">
        <v>194</v>
      </c>
      <c r="I7" s="8" t="s">
        <v>2213</v>
      </c>
      <c r="J7" s="8" t="s">
        <v>2228</v>
      </c>
      <c r="K7" s="8" t="s">
        <v>2215</v>
      </c>
    </row>
    <row r="8" customFormat="false" ht="24.75" hidden="false" customHeight="true" outlineLevel="0" collapsed="false">
      <c r="A8" s="12" t="s">
        <v>206</v>
      </c>
      <c r="B8" s="8" t="s">
        <v>207</v>
      </c>
      <c r="C8" s="8" t="s">
        <v>2209</v>
      </c>
      <c r="D8" s="12" t="s">
        <v>174</v>
      </c>
      <c r="E8" s="8" t="s">
        <v>2216</v>
      </c>
      <c r="F8" s="8" t="s">
        <v>2217</v>
      </c>
      <c r="G8" s="8" t="s">
        <v>2218</v>
      </c>
      <c r="H8" s="12" t="s">
        <v>195</v>
      </c>
      <c r="I8" s="8" t="s">
        <v>2213</v>
      </c>
      <c r="J8" s="8" t="s">
        <v>2219</v>
      </c>
      <c r="K8" s="8" t="s">
        <v>2215</v>
      </c>
    </row>
    <row r="9" customFormat="false" ht="37.5" hidden="false" customHeight="true" outlineLevel="0" collapsed="false">
      <c r="A9" s="12" t="s">
        <v>217</v>
      </c>
      <c r="B9" s="8" t="s">
        <v>219</v>
      </c>
      <c r="C9" s="8" t="s">
        <v>2209</v>
      </c>
      <c r="D9" s="12" t="s">
        <v>171</v>
      </c>
      <c r="E9" s="8" t="s">
        <v>2221</v>
      </c>
      <c r="F9" s="8" t="s">
        <v>2229</v>
      </c>
      <c r="G9" s="8" t="s">
        <v>2223</v>
      </c>
      <c r="H9" s="12" t="s">
        <v>194</v>
      </c>
      <c r="I9" s="8" t="s">
        <v>2213</v>
      </c>
      <c r="J9" s="8" t="s">
        <v>2230</v>
      </c>
      <c r="K9" s="8" t="s">
        <v>2215</v>
      </c>
    </row>
    <row r="10" customFormat="false" ht="14.25" hidden="false" customHeight="false" outlineLevel="0" collapsed="false">
      <c r="A10" s="12" t="s">
        <v>217</v>
      </c>
      <c r="B10" s="8" t="s">
        <v>219</v>
      </c>
      <c r="C10" s="8" t="s">
        <v>2209</v>
      </c>
      <c r="D10" s="12" t="s">
        <v>171</v>
      </c>
      <c r="E10" s="8" t="s">
        <v>2221</v>
      </c>
      <c r="F10" s="8" t="s">
        <v>2231</v>
      </c>
      <c r="G10" s="8" t="s">
        <v>2223</v>
      </c>
      <c r="H10" s="12" t="s">
        <v>194</v>
      </c>
      <c r="I10" s="8" t="s">
        <v>2213</v>
      </c>
      <c r="J10" s="8" t="s">
        <v>2232</v>
      </c>
      <c r="K10" s="8" t="s">
        <v>2215</v>
      </c>
    </row>
    <row r="11" customFormat="false" ht="37.5" hidden="false" customHeight="true" outlineLevel="0" collapsed="false">
      <c r="A11" s="12" t="s">
        <v>217</v>
      </c>
      <c r="B11" s="8" t="s">
        <v>219</v>
      </c>
      <c r="C11" s="8" t="s">
        <v>2209</v>
      </c>
      <c r="D11" s="12" t="s">
        <v>172</v>
      </c>
      <c r="E11" s="8" t="s">
        <v>2210</v>
      </c>
      <c r="F11" s="8" t="s">
        <v>2233</v>
      </c>
      <c r="G11" s="8" t="s">
        <v>2212</v>
      </c>
      <c r="H11" s="12" t="s">
        <v>194</v>
      </c>
      <c r="I11" s="8" t="s">
        <v>2213</v>
      </c>
      <c r="J11" s="8" t="s">
        <v>2234</v>
      </c>
      <c r="K11" s="8" t="s">
        <v>2215</v>
      </c>
    </row>
    <row r="12" customFormat="false" ht="24.75" hidden="false" customHeight="true" outlineLevel="0" collapsed="false">
      <c r="A12" s="12" t="s">
        <v>217</v>
      </c>
      <c r="B12" s="8" t="s">
        <v>219</v>
      </c>
      <c r="C12" s="8" t="s">
        <v>2209</v>
      </c>
      <c r="D12" s="12" t="s">
        <v>174</v>
      </c>
      <c r="E12" s="8" t="s">
        <v>2216</v>
      </c>
      <c r="F12" s="8" t="s">
        <v>2235</v>
      </c>
      <c r="G12" s="8" t="s">
        <v>2218</v>
      </c>
      <c r="H12" s="12" t="s">
        <v>195</v>
      </c>
      <c r="I12" s="8" t="s">
        <v>2213</v>
      </c>
      <c r="J12" s="8" t="s">
        <v>2236</v>
      </c>
      <c r="K12" s="8" t="s">
        <v>2215</v>
      </c>
    </row>
    <row r="13" customFormat="false" ht="24.75" hidden="false" customHeight="true" outlineLevel="0" collapsed="false">
      <c r="A13" s="12" t="s">
        <v>217</v>
      </c>
      <c r="B13" s="8" t="s">
        <v>219</v>
      </c>
      <c r="C13" s="8" t="s">
        <v>2209</v>
      </c>
      <c r="D13" s="12" t="s">
        <v>175</v>
      </c>
      <c r="E13" s="8" t="s">
        <v>2237</v>
      </c>
      <c r="F13" s="8" t="s">
        <v>2238</v>
      </c>
      <c r="G13" s="8" t="s">
        <v>2239</v>
      </c>
      <c r="H13" s="12" t="s">
        <v>194</v>
      </c>
      <c r="I13" s="8" t="s">
        <v>2213</v>
      </c>
      <c r="J13" s="8" t="s">
        <v>2240</v>
      </c>
      <c r="K13" s="8" t="s">
        <v>2215</v>
      </c>
    </row>
    <row r="14" customFormat="false" ht="24.75" hidden="false" customHeight="true" outlineLevel="0" collapsed="false">
      <c r="A14" s="12" t="s">
        <v>223</v>
      </c>
      <c r="B14" s="8" t="s">
        <v>224</v>
      </c>
      <c r="C14" s="8" t="s">
        <v>2209</v>
      </c>
      <c r="D14" s="12" t="s">
        <v>171</v>
      </c>
      <c r="E14" s="8" t="s">
        <v>2221</v>
      </c>
      <c r="F14" s="8" t="s">
        <v>2241</v>
      </c>
      <c r="G14" s="8" t="s">
        <v>2223</v>
      </c>
      <c r="H14" s="12" t="s">
        <v>194</v>
      </c>
      <c r="I14" s="8" t="s">
        <v>2213</v>
      </c>
      <c r="J14" s="8" t="s">
        <v>2242</v>
      </c>
      <c r="K14" s="8" t="s">
        <v>2215</v>
      </c>
    </row>
    <row r="15" customFormat="false" ht="24.75" hidden="false" customHeight="true" outlineLevel="0" collapsed="false">
      <c r="A15" s="12" t="s">
        <v>229</v>
      </c>
      <c r="B15" s="8" t="s">
        <v>230</v>
      </c>
      <c r="C15" s="8" t="s">
        <v>2209</v>
      </c>
      <c r="D15" s="12" t="s">
        <v>171</v>
      </c>
      <c r="E15" s="8" t="s">
        <v>2221</v>
      </c>
      <c r="F15" s="8" t="s">
        <v>2243</v>
      </c>
      <c r="G15" s="8" t="s">
        <v>2244</v>
      </c>
      <c r="H15" s="12" t="s">
        <v>232</v>
      </c>
      <c r="I15" s="8" t="s">
        <v>2213</v>
      </c>
      <c r="J15" s="8" t="s">
        <v>2245</v>
      </c>
      <c r="K15" s="8" t="s">
        <v>2215</v>
      </c>
    </row>
    <row r="16" customFormat="false" ht="24.75" hidden="false" customHeight="true" outlineLevel="0" collapsed="false">
      <c r="A16" s="12" t="s">
        <v>229</v>
      </c>
      <c r="B16" s="8" t="s">
        <v>230</v>
      </c>
      <c r="C16" s="8" t="s">
        <v>2209</v>
      </c>
      <c r="D16" s="12" t="s">
        <v>172</v>
      </c>
      <c r="E16" s="8" t="s">
        <v>2210</v>
      </c>
      <c r="F16" s="8" t="s">
        <v>2246</v>
      </c>
      <c r="G16" s="8" t="s">
        <v>2212</v>
      </c>
      <c r="H16" s="12" t="s">
        <v>194</v>
      </c>
      <c r="I16" s="8" t="s">
        <v>2213</v>
      </c>
      <c r="J16" s="8" t="s">
        <v>2247</v>
      </c>
      <c r="K16" s="8" t="s">
        <v>2215</v>
      </c>
    </row>
    <row r="17" customFormat="false" ht="14.25" hidden="false" customHeight="false" outlineLevel="0" collapsed="false">
      <c r="A17" s="12" t="s">
        <v>235</v>
      </c>
      <c r="B17" s="8" t="s">
        <v>236</v>
      </c>
      <c r="C17" s="8" t="s">
        <v>2209</v>
      </c>
      <c r="D17" s="12" t="s">
        <v>171</v>
      </c>
      <c r="E17" s="8" t="s">
        <v>2221</v>
      </c>
      <c r="F17" s="8" t="s">
        <v>2248</v>
      </c>
      <c r="G17" s="8" t="s">
        <v>2223</v>
      </c>
      <c r="H17" s="12" t="s">
        <v>194</v>
      </c>
      <c r="I17" s="8" t="s">
        <v>2213</v>
      </c>
      <c r="J17" s="8" t="s">
        <v>2249</v>
      </c>
      <c r="K17" s="8" t="s">
        <v>2215</v>
      </c>
    </row>
    <row r="18" customFormat="false" ht="14.25" hidden="false" customHeight="false" outlineLevel="0" collapsed="false">
      <c r="A18" s="12" t="s">
        <v>235</v>
      </c>
      <c r="B18" s="8" t="s">
        <v>236</v>
      </c>
      <c r="C18" s="8" t="s">
        <v>2209</v>
      </c>
      <c r="D18" s="12" t="s">
        <v>171</v>
      </c>
      <c r="E18" s="8" t="s">
        <v>2221</v>
      </c>
      <c r="F18" s="8" t="s">
        <v>2250</v>
      </c>
      <c r="G18" s="8" t="s">
        <v>2223</v>
      </c>
      <c r="H18" s="12" t="s">
        <v>194</v>
      </c>
      <c r="I18" s="8" t="s">
        <v>2213</v>
      </c>
      <c r="J18" s="8" t="s">
        <v>2251</v>
      </c>
      <c r="K18" s="8" t="s">
        <v>2215</v>
      </c>
    </row>
    <row r="19" customFormat="false" ht="24.75" hidden="false" customHeight="true" outlineLevel="0" collapsed="false">
      <c r="A19" s="12" t="s">
        <v>239</v>
      </c>
      <c r="B19" s="8" t="s">
        <v>240</v>
      </c>
      <c r="C19" s="8" t="s">
        <v>2209</v>
      </c>
      <c r="D19" s="12" t="s">
        <v>172</v>
      </c>
      <c r="E19" s="8" t="s">
        <v>2210</v>
      </c>
      <c r="F19" s="8" t="s">
        <v>2252</v>
      </c>
      <c r="G19" s="8" t="s">
        <v>2212</v>
      </c>
      <c r="H19" s="12" t="s">
        <v>194</v>
      </c>
      <c r="I19" s="8" t="s">
        <v>2213</v>
      </c>
      <c r="J19" s="8" t="s">
        <v>2253</v>
      </c>
      <c r="K19" s="8" t="s">
        <v>2215</v>
      </c>
    </row>
    <row r="20" customFormat="false" ht="24.75" hidden="false" customHeight="true" outlineLevel="0" collapsed="false">
      <c r="A20" s="12" t="s">
        <v>245</v>
      </c>
      <c r="B20" s="8" t="s">
        <v>246</v>
      </c>
      <c r="C20" s="8" t="s">
        <v>2209</v>
      </c>
      <c r="D20" s="12" t="s">
        <v>171</v>
      </c>
      <c r="E20" s="8" t="s">
        <v>2221</v>
      </c>
      <c r="F20" s="8" t="s">
        <v>2254</v>
      </c>
      <c r="G20" s="8" t="s">
        <v>2223</v>
      </c>
      <c r="H20" s="12" t="s">
        <v>194</v>
      </c>
      <c r="I20" s="8" t="s">
        <v>2213</v>
      </c>
      <c r="J20" s="8" t="s">
        <v>2255</v>
      </c>
      <c r="K20" s="8" t="s">
        <v>2215</v>
      </c>
    </row>
    <row r="21" customFormat="false" ht="37.5" hidden="false" customHeight="true" outlineLevel="0" collapsed="false">
      <c r="A21" s="12" t="s">
        <v>245</v>
      </c>
      <c r="B21" s="8" t="s">
        <v>246</v>
      </c>
      <c r="C21" s="8" t="s">
        <v>2209</v>
      </c>
      <c r="D21" s="12" t="s">
        <v>175</v>
      </c>
      <c r="E21" s="8" t="s">
        <v>2237</v>
      </c>
      <c r="F21" s="8" t="s">
        <v>2256</v>
      </c>
      <c r="G21" s="8" t="s">
        <v>2239</v>
      </c>
      <c r="H21" s="12" t="s">
        <v>194</v>
      </c>
      <c r="I21" s="8" t="s">
        <v>2213</v>
      </c>
      <c r="J21" s="8" t="s">
        <v>2257</v>
      </c>
      <c r="K21" s="8" t="s">
        <v>2215</v>
      </c>
    </row>
    <row r="22" customFormat="false" ht="37.5" hidden="false" customHeight="true" outlineLevel="0" collapsed="false">
      <c r="A22" s="12" t="s">
        <v>255</v>
      </c>
      <c r="B22" s="8" t="s">
        <v>257</v>
      </c>
      <c r="C22" s="8" t="s">
        <v>2209</v>
      </c>
      <c r="D22" s="12" t="s">
        <v>172</v>
      </c>
      <c r="E22" s="8" t="s">
        <v>2210</v>
      </c>
      <c r="F22" s="8" t="s">
        <v>2233</v>
      </c>
      <c r="G22" s="8" t="s">
        <v>2212</v>
      </c>
      <c r="H22" s="12" t="s">
        <v>194</v>
      </c>
      <c r="I22" s="8" t="s">
        <v>2213</v>
      </c>
      <c r="J22" s="8" t="s">
        <v>2258</v>
      </c>
      <c r="K22" s="8" t="s">
        <v>2215</v>
      </c>
    </row>
    <row r="23" customFormat="false" ht="24.75" hidden="false" customHeight="true" outlineLevel="0" collapsed="false">
      <c r="A23" s="12" t="s">
        <v>255</v>
      </c>
      <c r="B23" s="8" t="s">
        <v>257</v>
      </c>
      <c r="C23" s="8" t="s">
        <v>2209</v>
      </c>
      <c r="D23" s="12" t="s">
        <v>172</v>
      </c>
      <c r="E23" s="8" t="s">
        <v>2210</v>
      </c>
      <c r="F23" s="8" t="s">
        <v>2233</v>
      </c>
      <c r="G23" s="8" t="s">
        <v>2212</v>
      </c>
      <c r="H23" s="12" t="s">
        <v>194</v>
      </c>
      <c r="I23" s="8" t="s">
        <v>2213</v>
      </c>
      <c r="J23" s="8" t="s">
        <v>2259</v>
      </c>
      <c r="K23" s="8" t="s">
        <v>2215</v>
      </c>
    </row>
    <row r="24" customFormat="false" ht="37.5" hidden="false" customHeight="true" outlineLevel="0" collapsed="false">
      <c r="A24" s="12" t="s">
        <v>255</v>
      </c>
      <c r="B24" s="8" t="s">
        <v>257</v>
      </c>
      <c r="C24" s="8" t="s">
        <v>2209</v>
      </c>
      <c r="D24" s="12" t="s">
        <v>175</v>
      </c>
      <c r="E24" s="8" t="s">
        <v>2237</v>
      </c>
      <c r="F24" s="8" t="s">
        <v>2256</v>
      </c>
      <c r="G24" s="8" t="s">
        <v>2239</v>
      </c>
      <c r="H24" s="12" t="s">
        <v>194</v>
      </c>
      <c r="I24" s="8" t="s">
        <v>2213</v>
      </c>
      <c r="J24" s="8" t="s">
        <v>2257</v>
      </c>
      <c r="K24" s="8" t="s">
        <v>2215</v>
      </c>
    </row>
    <row r="25" customFormat="false" ht="24.75" hidden="false" customHeight="true" outlineLevel="0" collapsed="false">
      <c r="A25" s="12" t="s">
        <v>261</v>
      </c>
      <c r="B25" s="8" t="s">
        <v>262</v>
      </c>
      <c r="C25" s="8" t="s">
        <v>2209</v>
      </c>
      <c r="D25" s="12" t="s">
        <v>173</v>
      </c>
      <c r="E25" s="8" t="s">
        <v>2260</v>
      </c>
      <c r="F25" s="8" t="s">
        <v>2261</v>
      </c>
      <c r="G25" s="8" t="s">
        <v>2262</v>
      </c>
      <c r="H25" s="12" t="s">
        <v>194</v>
      </c>
      <c r="I25" s="8" t="s">
        <v>2213</v>
      </c>
      <c r="J25" s="8" t="s">
        <v>2263</v>
      </c>
      <c r="K25" s="8" t="s">
        <v>2215</v>
      </c>
    </row>
    <row r="26" customFormat="false" ht="24.75" hidden="false" customHeight="true" outlineLevel="0" collapsed="false">
      <c r="A26" s="12" t="s">
        <v>266</v>
      </c>
      <c r="B26" s="8" t="s">
        <v>269</v>
      </c>
      <c r="C26" s="8" t="s">
        <v>2209</v>
      </c>
      <c r="D26" s="12" t="s">
        <v>171</v>
      </c>
      <c r="E26" s="8" t="s">
        <v>2221</v>
      </c>
      <c r="F26" s="8" t="s">
        <v>2264</v>
      </c>
      <c r="G26" s="8" t="s">
        <v>2223</v>
      </c>
      <c r="H26" s="12" t="s">
        <v>194</v>
      </c>
      <c r="I26" s="8" t="s">
        <v>2213</v>
      </c>
      <c r="J26" s="8" t="s">
        <v>2265</v>
      </c>
      <c r="K26" s="8" t="s">
        <v>2215</v>
      </c>
    </row>
    <row r="27" customFormat="false" ht="37.5" hidden="false" customHeight="true" outlineLevel="0" collapsed="false">
      <c r="A27" s="12" t="s">
        <v>266</v>
      </c>
      <c r="B27" s="8" t="s">
        <v>269</v>
      </c>
      <c r="C27" s="8" t="s">
        <v>2209</v>
      </c>
      <c r="D27" s="12" t="s">
        <v>172</v>
      </c>
      <c r="E27" s="8" t="s">
        <v>2210</v>
      </c>
      <c r="F27" s="8" t="s">
        <v>2233</v>
      </c>
      <c r="G27" s="8" t="s">
        <v>2212</v>
      </c>
      <c r="H27" s="12" t="s">
        <v>194</v>
      </c>
      <c r="I27" s="8" t="s">
        <v>2213</v>
      </c>
      <c r="J27" s="8" t="s">
        <v>2266</v>
      </c>
      <c r="K27" s="8" t="s">
        <v>2215</v>
      </c>
    </row>
    <row r="28" customFormat="false" ht="37.5" hidden="false" customHeight="true" outlineLevel="0" collapsed="false">
      <c r="A28" s="12" t="s">
        <v>266</v>
      </c>
      <c r="B28" s="8" t="s">
        <v>269</v>
      </c>
      <c r="C28" s="8" t="s">
        <v>2209</v>
      </c>
      <c r="D28" s="12" t="s">
        <v>172</v>
      </c>
      <c r="E28" s="8" t="s">
        <v>2210</v>
      </c>
      <c r="F28" s="8" t="s">
        <v>2233</v>
      </c>
      <c r="G28" s="8" t="s">
        <v>2212</v>
      </c>
      <c r="H28" s="12" t="s">
        <v>194</v>
      </c>
      <c r="I28" s="8" t="s">
        <v>2213</v>
      </c>
      <c r="J28" s="8" t="s">
        <v>2267</v>
      </c>
      <c r="K28" s="8" t="s">
        <v>2215</v>
      </c>
    </row>
    <row r="29" customFormat="false" ht="24.75" hidden="false" customHeight="true" outlineLevel="0" collapsed="false">
      <c r="A29" s="12" t="s">
        <v>266</v>
      </c>
      <c r="B29" s="8" t="s">
        <v>269</v>
      </c>
      <c r="C29" s="8" t="s">
        <v>2209</v>
      </c>
      <c r="D29" s="12" t="s">
        <v>174</v>
      </c>
      <c r="E29" s="8" t="s">
        <v>2216</v>
      </c>
      <c r="F29" s="8" t="s">
        <v>2235</v>
      </c>
      <c r="G29" s="8" t="s">
        <v>2218</v>
      </c>
      <c r="H29" s="12" t="s">
        <v>195</v>
      </c>
      <c r="I29" s="8" t="s">
        <v>2213</v>
      </c>
      <c r="J29" s="8" t="s">
        <v>2236</v>
      </c>
      <c r="K29" s="8" t="s">
        <v>2215</v>
      </c>
    </row>
    <row r="30" customFormat="false" ht="24.75" hidden="false" customHeight="true" outlineLevel="0" collapsed="false">
      <c r="A30" s="12" t="s">
        <v>266</v>
      </c>
      <c r="B30" s="8" t="s">
        <v>269</v>
      </c>
      <c r="C30" s="8" t="s">
        <v>2209</v>
      </c>
      <c r="D30" s="12" t="s">
        <v>175</v>
      </c>
      <c r="E30" s="8" t="s">
        <v>2237</v>
      </c>
      <c r="F30" s="8" t="s">
        <v>2238</v>
      </c>
      <c r="G30" s="8" t="s">
        <v>2239</v>
      </c>
      <c r="H30" s="12" t="s">
        <v>194</v>
      </c>
      <c r="I30" s="8" t="s">
        <v>2213</v>
      </c>
      <c r="J30" s="8" t="s">
        <v>2268</v>
      </c>
      <c r="K30" s="8" t="s">
        <v>2215</v>
      </c>
    </row>
    <row r="31" customFormat="false" ht="24.75" hidden="false" customHeight="true" outlineLevel="0" collapsed="false">
      <c r="A31" s="12" t="s">
        <v>273</v>
      </c>
      <c r="B31" s="8" t="s">
        <v>274</v>
      </c>
      <c r="C31" s="8" t="s">
        <v>2209</v>
      </c>
      <c r="D31" s="12" t="s">
        <v>171</v>
      </c>
      <c r="E31" s="8" t="s">
        <v>2221</v>
      </c>
      <c r="F31" s="8" t="s">
        <v>2269</v>
      </c>
      <c r="G31" s="8" t="s">
        <v>2223</v>
      </c>
      <c r="H31" s="12" t="s">
        <v>194</v>
      </c>
      <c r="I31" s="8" t="s">
        <v>2213</v>
      </c>
      <c r="J31" s="8" t="s">
        <v>2270</v>
      </c>
      <c r="K31" s="8" t="s">
        <v>2215</v>
      </c>
    </row>
    <row r="32" customFormat="false" ht="24.75" hidden="false" customHeight="true" outlineLevel="0" collapsed="false">
      <c r="A32" s="12" t="s">
        <v>278</v>
      </c>
      <c r="B32" s="8" t="s">
        <v>279</v>
      </c>
      <c r="C32" s="8" t="s">
        <v>2209</v>
      </c>
      <c r="D32" s="12" t="s">
        <v>172</v>
      </c>
      <c r="E32" s="8" t="s">
        <v>2210</v>
      </c>
      <c r="F32" s="8" t="s">
        <v>2233</v>
      </c>
      <c r="G32" s="8" t="s">
        <v>2212</v>
      </c>
      <c r="H32" s="12" t="s">
        <v>194</v>
      </c>
      <c r="I32" s="8" t="s">
        <v>2213</v>
      </c>
      <c r="J32" s="8" t="s">
        <v>2271</v>
      </c>
      <c r="K32" s="8" t="s">
        <v>2215</v>
      </c>
    </row>
    <row r="33" customFormat="false" ht="24.75" hidden="false" customHeight="true" outlineLevel="0" collapsed="false">
      <c r="A33" s="12" t="s">
        <v>278</v>
      </c>
      <c r="B33" s="8" t="s">
        <v>279</v>
      </c>
      <c r="C33" s="8" t="s">
        <v>2209</v>
      </c>
      <c r="D33" s="12" t="s">
        <v>175</v>
      </c>
      <c r="E33" s="8" t="s">
        <v>2237</v>
      </c>
      <c r="F33" s="8" t="s">
        <v>2238</v>
      </c>
      <c r="G33" s="8" t="s">
        <v>2239</v>
      </c>
      <c r="H33" s="12" t="s">
        <v>194</v>
      </c>
      <c r="I33" s="8" t="s">
        <v>2213</v>
      </c>
      <c r="J33" s="8" t="s">
        <v>2240</v>
      </c>
      <c r="K33" s="8" t="s">
        <v>2215</v>
      </c>
    </row>
    <row r="34" customFormat="false" ht="14.25" hidden="false" customHeight="false" outlineLevel="0" collapsed="false">
      <c r="A34" s="12" t="s">
        <v>283</v>
      </c>
      <c r="B34" s="8" t="s">
        <v>284</v>
      </c>
      <c r="C34" s="8" t="s">
        <v>2209</v>
      </c>
      <c r="D34" s="12" t="s">
        <v>171</v>
      </c>
      <c r="E34" s="8" t="s">
        <v>2221</v>
      </c>
      <c r="F34" s="8" t="s">
        <v>2272</v>
      </c>
      <c r="G34" s="8" t="s">
        <v>2223</v>
      </c>
      <c r="H34" s="12" t="s">
        <v>194</v>
      </c>
      <c r="I34" s="8" t="s">
        <v>2213</v>
      </c>
      <c r="J34" s="8" t="s">
        <v>2273</v>
      </c>
      <c r="K34" s="8" t="s">
        <v>2215</v>
      </c>
    </row>
    <row r="35" customFormat="false" ht="24.75" hidden="false" customHeight="true" outlineLevel="0" collapsed="false">
      <c r="A35" s="12" t="s">
        <v>283</v>
      </c>
      <c r="B35" s="8" t="s">
        <v>284</v>
      </c>
      <c r="C35" s="8" t="s">
        <v>2209</v>
      </c>
      <c r="D35" s="12" t="s">
        <v>171</v>
      </c>
      <c r="E35" s="8" t="s">
        <v>2221</v>
      </c>
      <c r="F35" s="8" t="s">
        <v>2274</v>
      </c>
      <c r="G35" s="8" t="s">
        <v>2223</v>
      </c>
      <c r="H35" s="12" t="s">
        <v>194</v>
      </c>
      <c r="I35" s="8" t="s">
        <v>2213</v>
      </c>
      <c r="J35" s="8" t="s">
        <v>2275</v>
      </c>
      <c r="K35" s="8" t="s">
        <v>2215</v>
      </c>
    </row>
    <row r="36" customFormat="false" ht="24.75" hidden="false" customHeight="true" outlineLevel="0" collapsed="false">
      <c r="A36" s="12" t="s">
        <v>287</v>
      </c>
      <c r="B36" s="8" t="s">
        <v>288</v>
      </c>
      <c r="C36" s="8" t="s">
        <v>2209</v>
      </c>
      <c r="D36" s="12" t="s">
        <v>171</v>
      </c>
      <c r="E36" s="8" t="s">
        <v>2221</v>
      </c>
      <c r="F36" s="8" t="s">
        <v>2276</v>
      </c>
      <c r="G36" s="8" t="s">
        <v>2223</v>
      </c>
      <c r="H36" s="12" t="s">
        <v>194</v>
      </c>
      <c r="I36" s="8" t="s">
        <v>2213</v>
      </c>
      <c r="J36" s="8" t="s">
        <v>2277</v>
      </c>
      <c r="K36" s="8" t="s">
        <v>2215</v>
      </c>
    </row>
    <row r="37" customFormat="false" ht="37.5" hidden="false" customHeight="true" outlineLevel="0" collapsed="false">
      <c r="A37" s="12" t="s">
        <v>293</v>
      </c>
      <c r="B37" s="8" t="s">
        <v>295</v>
      </c>
      <c r="C37" s="8" t="s">
        <v>2209</v>
      </c>
      <c r="D37" s="12" t="s">
        <v>171</v>
      </c>
      <c r="E37" s="8" t="s">
        <v>2221</v>
      </c>
      <c r="F37" s="8" t="s">
        <v>2229</v>
      </c>
      <c r="G37" s="8" t="s">
        <v>2223</v>
      </c>
      <c r="H37" s="12" t="s">
        <v>194</v>
      </c>
      <c r="I37" s="8" t="s">
        <v>2213</v>
      </c>
      <c r="J37" s="8" t="s">
        <v>2230</v>
      </c>
      <c r="K37" s="8" t="s">
        <v>2215</v>
      </c>
    </row>
    <row r="38" customFormat="false" ht="49.5" hidden="false" customHeight="true" outlineLevel="0" collapsed="false">
      <c r="A38" s="12" t="s">
        <v>293</v>
      </c>
      <c r="B38" s="8" t="s">
        <v>295</v>
      </c>
      <c r="C38" s="8" t="s">
        <v>2209</v>
      </c>
      <c r="D38" s="12" t="s">
        <v>172</v>
      </c>
      <c r="E38" s="8" t="s">
        <v>2210</v>
      </c>
      <c r="F38" s="8" t="s">
        <v>2233</v>
      </c>
      <c r="G38" s="8" t="s">
        <v>2212</v>
      </c>
      <c r="H38" s="12" t="s">
        <v>194</v>
      </c>
      <c r="I38" s="8" t="s">
        <v>2213</v>
      </c>
      <c r="J38" s="8" t="s">
        <v>2278</v>
      </c>
      <c r="K38" s="8" t="s">
        <v>2215</v>
      </c>
    </row>
    <row r="39" customFormat="false" ht="14.25" hidden="false" customHeight="false" outlineLevel="0" collapsed="false">
      <c r="A39" s="12" t="s">
        <v>300</v>
      </c>
      <c r="B39" s="8" t="s">
        <v>302</v>
      </c>
      <c r="C39" s="8" t="s">
        <v>2209</v>
      </c>
      <c r="D39" s="12" t="s">
        <v>171</v>
      </c>
      <c r="E39" s="8" t="s">
        <v>2221</v>
      </c>
      <c r="F39" s="8" t="s">
        <v>2279</v>
      </c>
      <c r="G39" s="8" t="s">
        <v>2223</v>
      </c>
      <c r="H39" s="12" t="s">
        <v>194</v>
      </c>
      <c r="I39" s="8" t="s">
        <v>2213</v>
      </c>
      <c r="J39" s="8" t="s">
        <v>2280</v>
      </c>
      <c r="K39" s="8" t="s">
        <v>2215</v>
      </c>
    </row>
    <row r="40" customFormat="false" ht="14.25" hidden="false" customHeight="false" outlineLevel="0" collapsed="false">
      <c r="A40" s="12" t="s">
        <v>300</v>
      </c>
      <c r="B40" s="8" t="s">
        <v>302</v>
      </c>
      <c r="C40" s="8" t="s">
        <v>2209</v>
      </c>
      <c r="D40" s="12" t="s">
        <v>171</v>
      </c>
      <c r="E40" s="8" t="s">
        <v>2221</v>
      </c>
      <c r="F40" s="8" t="s">
        <v>2281</v>
      </c>
      <c r="G40" s="8" t="s">
        <v>2223</v>
      </c>
      <c r="H40" s="12" t="s">
        <v>194</v>
      </c>
      <c r="I40" s="8" t="s">
        <v>2213</v>
      </c>
      <c r="J40" s="8" t="s">
        <v>2282</v>
      </c>
      <c r="K40" s="8" t="s">
        <v>2215</v>
      </c>
    </row>
    <row r="41" customFormat="false" ht="14.25" hidden="false" customHeight="false" outlineLevel="0" collapsed="false">
      <c r="A41" s="12" t="s">
        <v>300</v>
      </c>
      <c r="B41" s="8" t="s">
        <v>302</v>
      </c>
      <c r="C41" s="8" t="s">
        <v>2209</v>
      </c>
      <c r="D41" s="12" t="s">
        <v>171</v>
      </c>
      <c r="E41" s="8" t="s">
        <v>2221</v>
      </c>
      <c r="F41" s="8" t="s">
        <v>2283</v>
      </c>
      <c r="G41" s="8" t="s">
        <v>2223</v>
      </c>
      <c r="H41" s="12" t="s">
        <v>194</v>
      </c>
      <c r="I41" s="8" t="s">
        <v>2213</v>
      </c>
      <c r="J41" s="8" t="s">
        <v>2284</v>
      </c>
      <c r="K41" s="8" t="s">
        <v>2215</v>
      </c>
    </row>
    <row r="42" customFormat="false" ht="37.5" hidden="false" customHeight="true" outlineLevel="0" collapsed="false">
      <c r="A42" s="12" t="s">
        <v>300</v>
      </c>
      <c r="B42" s="8" t="s">
        <v>302</v>
      </c>
      <c r="C42" s="8" t="s">
        <v>2209</v>
      </c>
      <c r="D42" s="12" t="s">
        <v>172</v>
      </c>
      <c r="E42" s="8" t="s">
        <v>2210</v>
      </c>
      <c r="F42" s="8" t="s">
        <v>2252</v>
      </c>
      <c r="G42" s="8" t="s">
        <v>2212</v>
      </c>
      <c r="H42" s="12" t="s">
        <v>194</v>
      </c>
      <c r="I42" s="8" t="s">
        <v>2213</v>
      </c>
      <c r="J42" s="8" t="s">
        <v>2285</v>
      </c>
      <c r="K42" s="8" t="s">
        <v>2215</v>
      </c>
    </row>
    <row r="43" customFormat="false" ht="37.5" hidden="false" customHeight="true" outlineLevel="0" collapsed="false">
      <c r="A43" s="12" t="s">
        <v>300</v>
      </c>
      <c r="B43" s="8" t="s">
        <v>302</v>
      </c>
      <c r="C43" s="8" t="s">
        <v>2209</v>
      </c>
      <c r="D43" s="12" t="s">
        <v>173</v>
      </c>
      <c r="E43" s="8" t="s">
        <v>2260</v>
      </c>
      <c r="F43" s="8" t="s">
        <v>2261</v>
      </c>
      <c r="G43" s="8" t="s">
        <v>2262</v>
      </c>
      <c r="H43" s="12" t="s">
        <v>194</v>
      </c>
      <c r="I43" s="8" t="s">
        <v>2213</v>
      </c>
      <c r="J43" s="8" t="s">
        <v>2286</v>
      </c>
      <c r="K43" s="8" t="s">
        <v>2215</v>
      </c>
    </row>
    <row r="44" customFormat="false" ht="37.5" hidden="false" customHeight="true" outlineLevel="0" collapsed="false">
      <c r="A44" s="12" t="s">
        <v>300</v>
      </c>
      <c r="B44" s="8" t="s">
        <v>302</v>
      </c>
      <c r="C44" s="8" t="s">
        <v>2209</v>
      </c>
      <c r="D44" s="12" t="s">
        <v>175</v>
      </c>
      <c r="E44" s="8" t="s">
        <v>2237</v>
      </c>
      <c r="F44" s="8" t="s">
        <v>2256</v>
      </c>
      <c r="G44" s="8" t="s">
        <v>2239</v>
      </c>
      <c r="H44" s="12" t="s">
        <v>194</v>
      </c>
      <c r="I44" s="8" t="s">
        <v>2213</v>
      </c>
      <c r="J44" s="8" t="s">
        <v>2257</v>
      </c>
      <c r="K44" s="8" t="s">
        <v>2215</v>
      </c>
    </row>
    <row r="45" customFormat="false" ht="24.75" hidden="false" customHeight="true" outlineLevel="0" collapsed="false">
      <c r="A45" s="12" t="s">
        <v>307</v>
      </c>
      <c r="B45" s="8" t="s">
        <v>308</v>
      </c>
      <c r="C45" s="8" t="s">
        <v>2209</v>
      </c>
      <c r="D45" s="12" t="s">
        <v>171</v>
      </c>
      <c r="E45" s="8" t="s">
        <v>2221</v>
      </c>
      <c r="F45" s="8" t="s">
        <v>2287</v>
      </c>
      <c r="G45" s="8" t="s">
        <v>2223</v>
      </c>
      <c r="H45" s="12" t="s">
        <v>194</v>
      </c>
      <c r="I45" s="8" t="s">
        <v>2213</v>
      </c>
      <c r="J45" s="8" t="s">
        <v>2288</v>
      </c>
      <c r="K45" s="8" t="s">
        <v>2215</v>
      </c>
    </row>
    <row r="46" customFormat="false" ht="24.75" hidden="false" customHeight="true" outlineLevel="0" collapsed="false">
      <c r="A46" s="12" t="s">
        <v>313</v>
      </c>
      <c r="B46" s="8" t="s">
        <v>315</v>
      </c>
      <c r="C46" s="8" t="s">
        <v>2209</v>
      </c>
      <c r="D46" s="12" t="s">
        <v>172</v>
      </c>
      <c r="E46" s="8" t="s">
        <v>2210</v>
      </c>
      <c r="F46" s="8" t="s">
        <v>2252</v>
      </c>
      <c r="G46" s="8" t="s">
        <v>2212</v>
      </c>
      <c r="H46" s="12" t="s">
        <v>194</v>
      </c>
      <c r="I46" s="8" t="s">
        <v>2213</v>
      </c>
      <c r="J46" s="8" t="s">
        <v>2289</v>
      </c>
      <c r="K46" s="8" t="s">
        <v>2215</v>
      </c>
    </row>
    <row r="47" customFormat="false" ht="24.75" hidden="false" customHeight="true" outlineLevel="0" collapsed="false">
      <c r="A47" s="12" t="s">
        <v>313</v>
      </c>
      <c r="B47" s="8" t="s">
        <v>315</v>
      </c>
      <c r="C47" s="8" t="s">
        <v>2209</v>
      </c>
      <c r="D47" s="12" t="s">
        <v>172</v>
      </c>
      <c r="E47" s="8" t="s">
        <v>2210</v>
      </c>
      <c r="F47" s="8" t="s">
        <v>2290</v>
      </c>
      <c r="G47" s="8" t="s">
        <v>2212</v>
      </c>
      <c r="H47" s="12" t="s">
        <v>194</v>
      </c>
      <c r="I47" s="8" t="s">
        <v>2213</v>
      </c>
      <c r="J47" s="8" t="s">
        <v>2291</v>
      </c>
      <c r="K47" s="8" t="s">
        <v>2215</v>
      </c>
    </row>
    <row r="48" customFormat="false" ht="14.25" hidden="false" customHeight="false" outlineLevel="0" collapsed="false">
      <c r="A48" s="12" t="s">
        <v>319</v>
      </c>
      <c r="B48" s="8" t="s">
        <v>322</v>
      </c>
      <c r="C48" s="8" t="s">
        <v>2209</v>
      </c>
      <c r="D48" s="12" t="s">
        <v>171</v>
      </c>
      <c r="E48" s="8" t="s">
        <v>2221</v>
      </c>
      <c r="F48" s="8" t="s">
        <v>2292</v>
      </c>
      <c r="G48" s="8" t="s">
        <v>2223</v>
      </c>
      <c r="H48" s="12" t="s">
        <v>194</v>
      </c>
      <c r="I48" s="8" t="s">
        <v>2213</v>
      </c>
      <c r="J48" s="8" t="s">
        <v>2293</v>
      </c>
      <c r="K48" s="8" t="s">
        <v>2215</v>
      </c>
    </row>
    <row r="49" customFormat="false" ht="14.25" hidden="false" customHeight="false" outlineLevel="0" collapsed="false">
      <c r="A49" s="12" t="s">
        <v>319</v>
      </c>
      <c r="B49" s="8" t="s">
        <v>322</v>
      </c>
      <c r="C49" s="8" t="s">
        <v>2209</v>
      </c>
      <c r="D49" s="12" t="s">
        <v>173</v>
      </c>
      <c r="E49" s="8" t="s">
        <v>2260</v>
      </c>
      <c r="F49" s="8" t="s">
        <v>2261</v>
      </c>
      <c r="G49" s="8" t="s">
        <v>2262</v>
      </c>
      <c r="H49" s="12" t="s">
        <v>194</v>
      </c>
      <c r="I49" s="8" t="s">
        <v>2213</v>
      </c>
      <c r="J49" s="8" t="s">
        <v>2294</v>
      </c>
      <c r="K49" s="8" t="s">
        <v>2215</v>
      </c>
    </row>
    <row r="50" customFormat="false" ht="24.75" hidden="false" customHeight="true" outlineLevel="0" collapsed="false">
      <c r="A50" s="12" t="s">
        <v>319</v>
      </c>
      <c r="B50" s="8" t="s">
        <v>322</v>
      </c>
      <c r="C50" s="8" t="s">
        <v>2209</v>
      </c>
      <c r="D50" s="12" t="s">
        <v>174</v>
      </c>
      <c r="E50" s="8" t="s">
        <v>2216</v>
      </c>
      <c r="F50" s="8" t="s">
        <v>2235</v>
      </c>
      <c r="G50" s="8" t="s">
        <v>2218</v>
      </c>
      <c r="H50" s="12" t="s">
        <v>195</v>
      </c>
      <c r="I50" s="8" t="s">
        <v>2213</v>
      </c>
      <c r="J50" s="8" t="s">
        <v>2295</v>
      </c>
      <c r="K50" s="8" t="s">
        <v>2215</v>
      </c>
    </row>
    <row r="51" customFormat="false" ht="24.75" hidden="false" customHeight="true" outlineLevel="0" collapsed="false">
      <c r="A51" s="12" t="s">
        <v>319</v>
      </c>
      <c r="B51" s="8" t="s">
        <v>322</v>
      </c>
      <c r="C51" s="8" t="s">
        <v>2209</v>
      </c>
      <c r="D51" s="12" t="s">
        <v>175</v>
      </c>
      <c r="E51" s="8" t="s">
        <v>2237</v>
      </c>
      <c r="F51" s="8" t="s">
        <v>2238</v>
      </c>
      <c r="G51" s="8" t="s">
        <v>2239</v>
      </c>
      <c r="H51" s="12" t="s">
        <v>194</v>
      </c>
      <c r="I51" s="8" t="s">
        <v>2213</v>
      </c>
      <c r="J51" s="8" t="s">
        <v>2296</v>
      </c>
      <c r="K51" s="8" t="s">
        <v>2215</v>
      </c>
    </row>
    <row r="52" customFormat="false" ht="24.75" hidden="false" customHeight="true" outlineLevel="0" collapsed="false">
      <c r="A52" s="12" t="s">
        <v>327</v>
      </c>
      <c r="B52" s="8" t="s">
        <v>328</v>
      </c>
      <c r="C52" s="8" t="s">
        <v>2209</v>
      </c>
      <c r="D52" s="12" t="s">
        <v>171</v>
      </c>
      <c r="E52" s="8" t="s">
        <v>2221</v>
      </c>
      <c r="F52" s="8" t="s">
        <v>2297</v>
      </c>
      <c r="G52" s="8" t="s">
        <v>2223</v>
      </c>
      <c r="H52" s="12" t="s">
        <v>194</v>
      </c>
      <c r="I52" s="8" t="s">
        <v>2213</v>
      </c>
      <c r="J52" s="8" t="s">
        <v>2298</v>
      </c>
      <c r="K52" s="8" t="s">
        <v>2215</v>
      </c>
    </row>
    <row r="53" customFormat="false" ht="37.5" hidden="false" customHeight="true" outlineLevel="0" collapsed="false">
      <c r="A53" s="12" t="s">
        <v>331</v>
      </c>
      <c r="B53" s="8" t="s">
        <v>332</v>
      </c>
      <c r="C53" s="8" t="s">
        <v>2209</v>
      </c>
      <c r="D53" s="12" t="s">
        <v>172</v>
      </c>
      <c r="E53" s="8" t="s">
        <v>2210</v>
      </c>
      <c r="F53" s="8" t="s">
        <v>2233</v>
      </c>
      <c r="G53" s="8" t="s">
        <v>2212</v>
      </c>
      <c r="H53" s="12" t="s">
        <v>194</v>
      </c>
      <c r="I53" s="8" t="s">
        <v>2213</v>
      </c>
      <c r="J53" s="8" t="s">
        <v>2234</v>
      </c>
      <c r="K53" s="8" t="s">
        <v>2215</v>
      </c>
    </row>
    <row r="54" customFormat="false" ht="24.75" hidden="false" customHeight="true" outlineLevel="0" collapsed="false">
      <c r="A54" s="12" t="s">
        <v>335</v>
      </c>
      <c r="B54" s="8" t="s">
        <v>336</v>
      </c>
      <c r="C54" s="8" t="s">
        <v>2209</v>
      </c>
      <c r="D54" s="12" t="s">
        <v>171</v>
      </c>
      <c r="E54" s="8" t="s">
        <v>2221</v>
      </c>
      <c r="F54" s="8" t="s">
        <v>2299</v>
      </c>
      <c r="G54" s="8" t="s">
        <v>2223</v>
      </c>
      <c r="H54" s="12" t="s">
        <v>194</v>
      </c>
      <c r="I54" s="8" t="s">
        <v>2213</v>
      </c>
      <c r="J54" s="8" t="s">
        <v>2300</v>
      </c>
      <c r="K54" s="8" t="s">
        <v>2215</v>
      </c>
    </row>
    <row r="55" customFormat="false" ht="24.75" hidden="false" customHeight="true" outlineLevel="0" collapsed="false">
      <c r="A55" s="12" t="s">
        <v>335</v>
      </c>
      <c r="B55" s="8" t="s">
        <v>336</v>
      </c>
      <c r="C55" s="8" t="s">
        <v>2209</v>
      </c>
      <c r="D55" s="12" t="s">
        <v>171</v>
      </c>
      <c r="E55" s="8" t="s">
        <v>2221</v>
      </c>
      <c r="F55" s="8" t="s">
        <v>2301</v>
      </c>
      <c r="G55" s="8" t="s">
        <v>2223</v>
      </c>
      <c r="H55" s="12" t="s">
        <v>194</v>
      </c>
      <c r="I55" s="8" t="s">
        <v>2213</v>
      </c>
      <c r="J55" s="8" t="s">
        <v>2302</v>
      </c>
      <c r="K55" s="8" t="s">
        <v>2215</v>
      </c>
    </row>
    <row r="56" customFormat="false" ht="24.75" hidden="false" customHeight="true" outlineLevel="0" collapsed="false">
      <c r="A56" s="12" t="s">
        <v>335</v>
      </c>
      <c r="B56" s="8" t="s">
        <v>336</v>
      </c>
      <c r="C56" s="8" t="s">
        <v>2209</v>
      </c>
      <c r="D56" s="12" t="s">
        <v>171</v>
      </c>
      <c r="E56" s="8" t="s">
        <v>2221</v>
      </c>
      <c r="F56" s="8" t="s">
        <v>2303</v>
      </c>
      <c r="G56" s="8" t="s">
        <v>2223</v>
      </c>
      <c r="H56" s="12" t="s">
        <v>194</v>
      </c>
      <c r="I56" s="8" t="s">
        <v>2213</v>
      </c>
      <c r="J56" s="8" t="s">
        <v>2300</v>
      </c>
      <c r="K56" s="8" t="s">
        <v>2215</v>
      </c>
    </row>
    <row r="57" customFormat="false" ht="24.75" hidden="false" customHeight="true" outlineLevel="0" collapsed="false">
      <c r="A57" s="12" t="s">
        <v>335</v>
      </c>
      <c r="B57" s="8" t="s">
        <v>336</v>
      </c>
      <c r="C57" s="8" t="s">
        <v>2209</v>
      </c>
      <c r="D57" s="12" t="s">
        <v>171</v>
      </c>
      <c r="E57" s="8" t="s">
        <v>2221</v>
      </c>
      <c r="F57" s="8" t="s">
        <v>2304</v>
      </c>
      <c r="G57" s="8" t="s">
        <v>2223</v>
      </c>
      <c r="H57" s="12" t="s">
        <v>194</v>
      </c>
      <c r="I57" s="8" t="s">
        <v>2213</v>
      </c>
      <c r="J57" s="8" t="s">
        <v>2302</v>
      </c>
      <c r="K57" s="8" t="s">
        <v>2215</v>
      </c>
    </row>
    <row r="58" customFormat="false" ht="24.75" hidden="false" customHeight="true" outlineLevel="0" collapsed="false">
      <c r="A58" s="12" t="s">
        <v>340</v>
      </c>
      <c r="B58" s="8" t="s">
        <v>341</v>
      </c>
      <c r="C58" s="8" t="s">
        <v>2209</v>
      </c>
      <c r="D58" s="12" t="s">
        <v>171</v>
      </c>
      <c r="E58" s="8" t="s">
        <v>2221</v>
      </c>
      <c r="F58" s="8" t="s">
        <v>2305</v>
      </c>
      <c r="G58" s="8" t="s">
        <v>2223</v>
      </c>
      <c r="H58" s="12" t="s">
        <v>194</v>
      </c>
      <c r="I58" s="8" t="s">
        <v>2213</v>
      </c>
      <c r="J58" s="8" t="s">
        <v>2306</v>
      </c>
      <c r="K58" s="8" t="s">
        <v>2215</v>
      </c>
    </row>
    <row r="59" customFormat="false" ht="24.75" hidden="false" customHeight="true" outlineLevel="0" collapsed="false">
      <c r="A59" s="12" t="s">
        <v>340</v>
      </c>
      <c r="B59" s="8" t="s">
        <v>341</v>
      </c>
      <c r="C59" s="8" t="s">
        <v>2209</v>
      </c>
      <c r="D59" s="12" t="s">
        <v>171</v>
      </c>
      <c r="E59" s="8" t="s">
        <v>2221</v>
      </c>
      <c r="F59" s="8" t="s">
        <v>2307</v>
      </c>
      <c r="G59" s="8" t="s">
        <v>2223</v>
      </c>
      <c r="H59" s="12" t="s">
        <v>194</v>
      </c>
      <c r="I59" s="8" t="s">
        <v>2213</v>
      </c>
      <c r="J59" s="8" t="s">
        <v>2308</v>
      </c>
      <c r="K59" s="8" t="s">
        <v>2215</v>
      </c>
    </row>
    <row r="60" customFormat="false" ht="14.25" hidden="false" customHeight="false" outlineLevel="0" collapsed="false">
      <c r="A60" s="12" t="s">
        <v>345</v>
      </c>
      <c r="B60" s="8" t="s">
        <v>346</v>
      </c>
      <c r="C60" s="8" t="s">
        <v>2209</v>
      </c>
      <c r="D60" s="12" t="s">
        <v>171</v>
      </c>
      <c r="E60" s="8" t="s">
        <v>2221</v>
      </c>
      <c r="F60" s="8" t="s">
        <v>2309</v>
      </c>
      <c r="G60" s="8" t="s">
        <v>2223</v>
      </c>
      <c r="H60" s="12" t="s">
        <v>194</v>
      </c>
      <c r="I60" s="8" t="s">
        <v>2213</v>
      </c>
      <c r="J60" s="8" t="s">
        <v>2310</v>
      </c>
      <c r="K60" s="8" t="s">
        <v>2215</v>
      </c>
    </row>
    <row r="61" customFormat="false" ht="14.25" hidden="false" customHeight="false" outlineLevel="0" collapsed="false">
      <c r="A61" s="12" t="s">
        <v>350</v>
      </c>
      <c r="B61" s="8" t="s">
        <v>351</v>
      </c>
      <c r="C61" s="8" t="s">
        <v>2209</v>
      </c>
      <c r="D61" s="12" t="s">
        <v>171</v>
      </c>
      <c r="E61" s="8" t="s">
        <v>2221</v>
      </c>
      <c r="F61" s="8" t="s">
        <v>2311</v>
      </c>
      <c r="G61" s="8" t="s">
        <v>2223</v>
      </c>
      <c r="H61" s="12" t="s">
        <v>194</v>
      </c>
      <c r="I61" s="8" t="s">
        <v>2213</v>
      </c>
      <c r="J61" s="8" t="s">
        <v>2312</v>
      </c>
      <c r="K61" s="8" t="s">
        <v>2215</v>
      </c>
    </row>
    <row r="62" customFormat="false" ht="24.75" hidden="false" customHeight="true" outlineLevel="0" collapsed="false">
      <c r="A62" s="12" t="s">
        <v>355</v>
      </c>
      <c r="B62" s="8" t="s">
        <v>357</v>
      </c>
      <c r="C62" s="8" t="s">
        <v>2209</v>
      </c>
      <c r="D62" s="12" t="s">
        <v>171</v>
      </c>
      <c r="E62" s="8" t="s">
        <v>2221</v>
      </c>
      <c r="F62" s="8" t="s">
        <v>2313</v>
      </c>
      <c r="G62" s="8" t="s">
        <v>2223</v>
      </c>
      <c r="H62" s="12" t="s">
        <v>194</v>
      </c>
      <c r="I62" s="8" t="s">
        <v>2213</v>
      </c>
      <c r="J62" s="8" t="s">
        <v>2314</v>
      </c>
      <c r="K62" s="8" t="s">
        <v>2215</v>
      </c>
    </row>
    <row r="63" customFormat="false" ht="24.75" hidden="false" customHeight="true" outlineLevel="0" collapsed="false">
      <c r="A63" s="12" t="s">
        <v>355</v>
      </c>
      <c r="B63" s="8" t="s">
        <v>357</v>
      </c>
      <c r="C63" s="8" t="s">
        <v>2209</v>
      </c>
      <c r="D63" s="12" t="s">
        <v>171</v>
      </c>
      <c r="E63" s="8" t="s">
        <v>2221</v>
      </c>
      <c r="F63" s="8" t="s">
        <v>2315</v>
      </c>
      <c r="G63" s="8" t="s">
        <v>2223</v>
      </c>
      <c r="H63" s="12" t="s">
        <v>194</v>
      </c>
      <c r="I63" s="8" t="s">
        <v>2213</v>
      </c>
      <c r="J63" s="8" t="s">
        <v>2316</v>
      </c>
      <c r="K63" s="8" t="s">
        <v>2215</v>
      </c>
    </row>
    <row r="64" customFormat="false" ht="24.75" hidden="false" customHeight="true" outlineLevel="0" collapsed="false">
      <c r="A64" s="12" t="s">
        <v>355</v>
      </c>
      <c r="B64" s="8" t="s">
        <v>357</v>
      </c>
      <c r="C64" s="8" t="s">
        <v>2209</v>
      </c>
      <c r="D64" s="12" t="s">
        <v>171</v>
      </c>
      <c r="E64" s="8" t="s">
        <v>2221</v>
      </c>
      <c r="F64" s="8" t="s">
        <v>2317</v>
      </c>
      <c r="G64" s="8" t="s">
        <v>2223</v>
      </c>
      <c r="H64" s="12" t="s">
        <v>194</v>
      </c>
      <c r="I64" s="8" t="s">
        <v>2213</v>
      </c>
      <c r="J64" s="8" t="s">
        <v>2318</v>
      </c>
      <c r="K64" s="8" t="s">
        <v>2215</v>
      </c>
    </row>
    <row r="65" customFormat="false" ht="24.75" hidden="false" customHeight="true" outlineLevel="0" collapsed="false">
      <c r="A65" s="12" t="s">
        <v>355</v>
      </c>
      <c r="B65" s="8" t="s">
        <v>357</v>
      </c>
      <c r="C65" s="8" t="s">
        <v>2209</v>
      </c>
      <c r="D65" s="12" t="s">
        <v>171</v>
      </c>
      <c r="E65" s="8" t="s">
        <v>2221</v>
      </c>
      <c r="F65" s="8" t="s">
        <v>2319</v>
      </c>
      <c r="G65" s="8" t="s">
        <v>2223</v>
      </c>
      <c r="H65" s="12" t="s">
        <v>194</v>
      </c>
      <c r="I65" s="8" t="s">
        <v>2213</v>
      </c>
      <c r="J65" s="8" t="s">
        <v>2320</v>
      </c>
      <c r="K65" s="8" t="s">
        <v>2215</v>
      </c>
    </row>
    <row r="66" customFormat="false" ht="24.75" hidden="false" customHeight="true" outlineLevel="0" collapsed="false">
      <c r="A66" s="12" t="s">
        <v>361</v>
      </c>
      <c r="B66" s="8" t="s">
        <v>363</v>
      </c>
      <c r="C66" s="8" t="s">
        <v>2209</v>
      </c>
      <c r="D66" s="12" t="s">
        <v>171</v>
      </c>
      <c r="E66" s="8" t="s">
        <v>2221</v>
      </c>
      <c r="F66" s="8" t="s">
        <v>2321</v>
      </c>
      <c r="G66" s="8" t="s">
        <v>2223</v>
      </c>
      <c r="H66" s="12" t="s">
        <v>194</v>
      </c>
      <c r="I66" s="8" t="s">
        <v>2213</v>
      </c>
      <c r="J66" s="8" t="s">
        <v>2322</v>
      </c>
      <c r="K66" s="8" t="s">
        <v>2215</v>
      </c>
    </row>
    <row r="67" customFormat="false" ht="24.75" hidden="false" customHeight="true" outlineLevel="0" collapsed="false">
      <c r="A67" s="12" t="s">
        <v>361</v>
      </c>
      <c r="B67" s="8" t="s">
        <v>363</v>
      </c>
      <c r="C67" s="8" t="s">
        <v>2209</v>
      </c>
      <c r="D67" s="12" t="s">
        <v>171</v>
      </c>
      <c r="E67" s="8" t="s">
        <v>2221</v>
      </c>
      <c r="F67" s="8" t="s">
        <v>2323</v>
      </c>
      <c r="G67" s="8" t="s">
        <v>2223</v>
      </c>
      <c r="H67" s="12" t="s">
        <v>194</v>
      </c>
      <c r="I67" s="8" t="s">
        <v>2213</v>
      </c>
      <c r="J67" s="8" t="s">
        <v>2324</v>
      </c>
      <c r="K67" s="8" t="s">
        <v>2215</v>
      </c>
    </row>
    <row r="68" customFormat="false" ht="24.75" hidden="false" customHeight="true" outlineLevel="0" collapsed="false">
      <c r="A68" s="12" t="s">
        <v>367</v>
      </c>
      <c r="B68" s="8" t="s">
        <v>368</v>
      </c>
      <c r="C68" s="8" t="s">
        <v>2209</v>
      </c>
      <c r="D68" s="12" t="s">
        <v>171</v>
      </c>
      <c r="E68" s="8" t="s">
        <v>2221</v>
      </c>
      <c r="F68" s="8" t="s">
        <v>2325</v>
      </c>
      <c r="G68" s="8" t="s">
        <v>2326</v>
      </c>
      <c r="H68" s="12" t="s">
        <v>195</v>
      </c>
      <c r="I68" s="8" t="s">
        <v>2213</v>
      </c>
      <c r="J68" s="8" t="s">
        <v>2327</v>
      </c>
      <c r="K68" s="8" t="s">
        <v>2215</v>
      </c>
    </row>
    <row r="69" customFormat="false" ht="24.75" hidden="false" customHeight="true" outlineLevel="0" collapsed="false">
      <c r="A69" s="12" t="s">
        <v>367</v>
      </c>
      <c r="B69" s="8" t="s">
        <v>368</v>
      </c>
      <c r="C69" s="8" t="s">
        <v>2209</v>
      </c>
      <c r="D69" s="12" t="s">
        <v>171</v>
      </c>
      <c r="E69" s="8" t="s">
        <v>2221</v>
      </c>
      <c r="F69" s="8" t="s">
        <v>2328</v>
      </c>
      <c r="G69" s="8" t="s">
        <v>2223</v>
      </c>
      <c r="H69" s="12" t="s">
        <v>194</v>
      </c>
      <c r="I69" s="8" t="s">
        <v>2213</v>
      </c>
      <c r="J69" s="8" t="s">
        <v>2329</v>
      </c>
      <c r="K69" s="8" t="s">
        <v>2215</v>
      </c>
    </row>
    <row r="70" customFormat="false" ht="24.75" hidden="false" customHeight="true" outlineLevel="0" collapsed="false">
      <c r="A70" s="12" t="s">
        <v>373</v>
      </c>
      <c r="B70" s="8" t="s">
        <v>374</v>
      </c>
      <c r="C70" s="8" t="s">
        <v>2209</v>
      </c>
      <c r="D70" s="12" t="s">
        <v>171</v>
      </c>
      <c r="E70" s="8" t="s">
        <v>2221</v>
      </c>
      <c r="F70" s="8" t="s">
        <v>2274</v>
      </c>
      <c r="G70" s="8" t="s">
        <v>2223</v>
      </c>
      <c r="H70" s="12" t="s">
        <v>194</v>
      </c>
      <c r="I70" s="8" t="s">
        <v>2213</v>
      </c>
      <c r="J70" s="8" t="s">
        <v>2275</v>
      </c>
      <c r="K70" s="8" t="s">
        <v>2215</v>
      </c>
    </row>
    <row r="71" customFormat="false" ht="14.25" hidden="false" customHeight="false" outlineLevel="0" collapsed="false">
      <c r="A71" s="12" t="s">
        <v>373</v>
      </c>
      <c r="B71" s="8" t="s">
        <v>374</v>
      </c>
      <c r="C71" s="8" t="s">
        <v>2209</v>
      </c>
      <c r="D71" s="12" t="s">
        <v>171</v>
      </c>
      <c r="E71" s="8" t="s">
        <v>2221</v>
      </c>
      <c r="F71" s="8" t="s">
        <v>2330</v>
      </c>
      <c r="G71" s="8" t="s">
        <v>2223</v>
      </c>
      <c r="H71" s="12" t="s">
        <v>194</v>
      </c>
      <c r="I71" s="8" t="s">
        <v>2213</v>
      </c>
      <c r="J71" s="8" t="s">
        <v>2331</v>
      </c>
      <c r="K71" s="8" t="s">
        <v>2215</v>
      </c>
    </row>
    <row r="72" customFormat="false" ht="24.75" hidden="false" customHeight="true" outlineLevel="0" collapsed="false">
      <c r="A72" s="12" t="s">
        <v>373</v>
      </c>
      <c r="B72" s="8" t="s">
        <v>374</v>
      </c>
      <c r="C72" s="8" t="s">
        <v>2209</v>
      </c>
      <c r="D72" s="12" t="s">
        <v>171</v>
      </c>
      <c r="E72" s="8" t="s">
        <v>2221</v>
      </c>
      <c r="F72" s="8" t="s">
        <v>2332</v>
      </c>
      <c r="G72" s="8" t="s">
        <v>2223</v>
      </c>
      <c r="H72" s="12" t="s">
        <v>194</v>
      </c>
      <c r="I72" s="8" t="s">
        <v>2213</v>
      </c>
      <c r="J72" s="8" t="s">
        <v>2333</v>
      </c>
      <c r="K72" s="8" t="s">
        <v>2215</v>
      </c>
    </row>
    <row r="73" customFormat="false" ht="14.25" hidden="false" customHeight="false" outlineLevel="0" collapsed="false">
      <c r="A73" s="12" t="s">
        <v>379</v>
      </c>
      <c r="B73" s="8" t="s">
        <v>382</v>
      </c>
      <c r="C73" s="8" t="s">
        <v>2209</v>
      </c>
      <c r="D73" s="12" t="s">
        <v>171</v>
      </c>
      <c r="E73" s="8" t="s">
        <v>2221</v>
      </c>
      <c r="F73" s="8" t="s">
        <v>2334</v>
      </c>
      <c r="G73" s="8" t="s">
        <v>2335</v>
      </c>
      <c r="H73" s="12" t="s">
        <v>194</v>
      </c>
      <c r="I73" s="8" t="s">
        <v>2213</v>
      </c>
      <c r="J73" s="8" t="s">
        <v>2336</v>
      </c>
      <c r="K73" s="8" t="s">
        <v>2215</v>
      </c>
    </row>
    <row r="74" customFormat="false" ht="24.75" hidden="false" customHeight="true" outlineLevel="0" collapsed="false">
      <c r="A74" s="12" t="s">
        <v>379</v>
      </c>
      <c r="B74" s="8" t="s">
        <v>382</v>
      </c>
      <c r="C74" s="8" t="s">
        <v>2209</v>
      </c>
      <c r="D74" s="12" t="s">
        <v>171</v>
      </c>
      <c r="E74" s="8" t="s">
        <v>2221</v>
      </c>
      <c r="F74" s="8" t="s">
        <v>2337</v>
      </c>
      <c r="G74" s="8" t="s">
        <v>2223</v>
      </c>
      <c r="H74" s="12" t="s">
        <v>194</v>
      </c>
      <c r="I74" s="8" t="s">
        <v>2213</v>
      </c>
      <c r="J74" s="8" t="s">
        <v>2338</v>
      </c>
      <c r="K74" s="8" t="s">
        <v>2215</v>
      </c>
    </row>
    <row r="75" customFormat="false" ht="14.25" hidden="false" customHeight="false" outlineLevel="0" collapsed="false">
      <c r="A75" s="12" t="s">
        <v>386</v>
      </c>
      <c r="B75" s="8" t="s">
        <v>387</v>
      </c>
      <c r="C75" s="8" t="s">
        <v>2209</v>
      </c>
      <c r="D75" s="12" t="s">
        <v>171</v>
      </c>
      <c r="E75" s="8" t="s">
        <v>2221</v>
      </c>
      <c r="F75" s="8" t="s">
        <v>2339</v>
      </c>
      <c r="G75" s="8" t="s">
        <v>2223</v>
      </c>
      <c r="H75" s="12" t="s">
        <v>194</v>
      </c>
      <c r="I75" s="8" t="s">
        <v>2213</v>
      </c>
      <c r="J75" s="8" t="s">
        <v>2340</v>
      </c>
      <c r="K75" s="8" t="s">
        <v>2215</v>
      </c>
    </row>
    <row r="76" customFormat="false" ht="14.25" hidden="false" customHeight="false" outlineLevel="0" collapsed="false">
      <c r="A76" s="12" t="s">
        <v>390</v>
      </c>
      <c r="B76" s="8" t="s">
        <v>391</v>
      </c>
      <c r="C76" s="8" t="s">
        <v>2209</v>
      </c>
      <c r="D76" s="12" t="s">
        <v>171</v>
      </c>
      <c r="E76" s="8" t="s">
        <v>2221</v>
      </c>
      <c r="F76" s="8" t="s">
        <v>2341</v>
      </c>
      <c r="G76" s="8" t="s">
        <v>2342</v>
      </c>
      <c r="H76" s="12" t="s">
        <v>232</v>
      </c>
      <c r="I76" s="8" t="s">
        <v>2213</v>
      </c>
      <c r="J76" s="8" t="s">
        <v>2343</v>
      </c>
      <c r="K76" s="8" t="s">
        <v>2215</v>
      </c>
    </row>
    <row r="77" customFormat="false" ht="14.25" hidden="false" customHeight="false" outlineLevel="0" collapsed="false">
      <c r="A77" s="12" t="s">
        <v>390</v>
      </c>
      <c r="B77" s="8" t="s">
        <v>391</v>
      </c>
      <c r="C77" s="8" t="s">
        <v>2209</v>
      </c>
      <c r="D77" s="12" t="s">
        <v>171</v>
      </c>
      <c r="E77" s="8" t="s">
        <v>2221</v>
      </c>
      <c r="F77" s="8" t="s">
        <v>2344</v>
      </c>
      <c r="G77" s="8" t="s">
        <v>2223</v>
      </c>
      <c r="H77" s="12" t="s">
        <v>194</v>
      </c>
      <c r="I77" s="8" t="s">
        <v>2213</v>
      </c>
      <c r="J77" s="8" t="s">
        <v>2345</v>
      </c>
      <c r="K77" s="8" t="s">
        <v>2215</v>
      </c>
    </row>
    <row r="78" customFormat="false" ht="14.25" hidden="false" customHeight="false" outlineLevel="0" collapsed="false">
      <c r="A78" s="12" t="s">
        <v>394</v>
      </c>
      <c r="B78" s="8" t="s">
        <v>395</v>
      </c>
      <c r="C78" s="8" t="s">
        <v>2209</v>
      </c>
      <c r="D78" s="12" t="s">
        <v>171</v>
      </c>
      <c r="E78" s="8" t="s">
        <v>2221</v>
      </c>
      <c r="F78" s="8" t="s">
        <v>2346</v>
      </c>
      <c r="G78" s="8" t="s">
        <v>2223</v>
      </c>
      <c r="H78" s="12" t="s">
        <v>194</v>
      </c>
      <c r="I78" s="8" t="s">
        <v>2213</v>
      </c>
      <c r="J78" s="8" t="s">
        <v>2347</v>
      </c>
      <c r="K78" s="8" t="s">
        <v>2215</v>
      </c>
    </row>
    <row r="79" customFormat="false" ht="24.75" hidden="false" customHeight="true" outlineLevel="0" collapsed="false">
      <c r="A79" s="12" t="s">
        <v>400</v>
      </c>
      <c r="B79" s="8" t="s">
        <v>401</v>
      </c>
      <c r="C79" s="8" t="s">
        <v>2209</v>
      </c>
      <c r="D79" s="12" t="s">
        <v>171</v>
      </c>
      <c r="E79" s="8" t="s">
        <v>2221</v>
      </c>
      <c r="F79" s="8" t="s">
        <v>2348</v>
      </c>
      <c r="G79" s="8" t="s">
        <v>2223</v>
      </c>
      <c r="H79" s="12" t="s">
        <v>194</v>
      </c>
      <c r="I79" s="8" t="s">
        <v>2213</v>
      </c>
      <c r="J79" s="8" t="s">
        <v>2349</v>
      </c>
      <c r="K79" s="8" t="s">
        <v>2215</v>
      </c>
    </row>
    <row r="80" customFormat="false" ht="24.75" hidden="false" customHeight="true" outlineLevel="0" collapsed="false">
      <c r="A80" s="12" t="s">
        <v>406</v>
      </c>
      <c r="B80" s="8" t="s">
        <v>407</v>
      </c>
      <c r="C80" s="8" t="s">
        <v>2209</v>
      </c>
      <c r="D80" s="12" t="s">
        <v>171</v>
      </c>
      <c r="E80" s="8" t="s">
        <v>2221</v>
      </c>
      <c r="F80" s="8" t="s">
        <v>2350</v>
      </c>
      <c r="G80" s="8" t="s">
        <v>2223</v>
      </c>
      <c r="H80" s="12" t="s">
        <v>194</v>
      </c>
      <c r="I80" s="8" t="s">
        <v>2213</v>
      </c>
      <c r="J80" s="8" t="s">
        <v>2351</v>
      </c>
      <c r="K80" s="8" t="s">
        <v>2215</v>
      </c>
    </row>
    <row r="81" customFormat="false" ht="24.75" hidden="false" customHeight="true" outlineLevel="0" collapsed="false">
      <c r="A81" s="12" t="s">
        <v>406</v>
      </c>
      <c r="B81" s="8" t="s">
        <v>407</v>
      </c>
      <c r="C81" s="8" t="s">
        <v>2209</v>
      </c>
      <c r="D81" s="12" t="s">
        <v>171</v>
      </c>
      <c r="E81" s="8" t="s">
        <v>2221</v>
      </c>
      <c r="F81" s="8" t="s">
        <v>2352</v>
      </c>
      <c r="G81" s="8" t="s">
        <v>2223</v>
      </c>
      <c r="H81" s="12" t="s">
        <v>194</v>
      </c>
      <c r="I81" s="8" t="s">
        <v>2213</v>
      </c>
      <c r="J81" s="8" t="s">
        <v>2353</v>
      </c>
      <c r="K81" s="8" t="s">
        <v>2215</v>
      </c>
    </row>
    <row r="82" customFormat="false" ht="24.75" hidden="false" customHeight="true" outlineLevel="0" collapsed="false">
      <c r="A82" s="12" t="s">
        <v>412</v>
      </c>
      <c r="B82" s="8" t="s">
        <v>413</v>
      </c>
      <c r="C82" s="8" t="s">
        <v>2209</v>
      </c>
      <c r="D82" s="12" t="s">
        <v>171</v>
      </c>
      <c r="E82" s="8" t="s">
        <v>2221</v>
      </c>
      <c r="F82" s="8" t="s">
        <v>2354</v>
      </c>
      <c r="G82" s="8" t="s">
        <v>2223</v>
      </c>
      <c r="H82" s="12" t="s">
        <v>194</v>
      </c>
      <c r="I82" s="8" t="s">
        <v>2213</v>
      </c>
      <c r="J82" s="8" t="s">
        <v>2355</v>
      </c>
      <c r="K82" s="8" t="s">
        <v>2215</v>
      </c>
    </row>
    <row r="83" customFormat="false" ht="24.75" hidden="false" customHeight="true" outlineLevel="0" collapsed="false">
      <c r="A83" s="12" t="s">
        <v>412</v>
      </c>
      <c r="B83" s="8" t="s">
        <v>413</v>
      </c>
      <c r="C83" s="8" t="s">
        <v>2209</v>
      </c>
      <c r="D83" s="12" t="s">
        <v>171</v>
      </c>
      <c r="E83" s="8" t="s">
        <v>2221</v>
      </c>
      <c r="F83" s="8" t="s">
        <v>2356</v>
      </c>
      <c r="G83" s="8" t="s">
        <v>2223</v>
      </c>
      <c r="H83" s="12" t="s">
        <v>194</v>
      </c>
      <c r="I83" s="8" t="s">
        <v>2213</v>
      </c>
      <c r="J83" s="8" t="s">
        <v>2357</v>
      </c>
      <c r="K83" s="8" t="s">
        <v>2215</v>
      </c>
    </row>
    <row r="84" customFormat="false" ht="24.75" hidden="false" customHeight="true" outlineLevel="0" collapsed="false">
      <c r="A84" s="12" t="s">
        <v>412</v>
      </c>
      <c r="B84" s="8" t="s">
        <v>413</v>
      </c>
      <c r="C84" s="8" t="s">
        <v>2209</v>
      </c>
      <c r="D84" s="12" t="s">
        <v>171</v>
      </c>
      <c r="E84" s="8" t="s">
        <v>2221</v>
      </c>
      <c r="F84" s="8" t="s">
        <v>2358</v>
      </c>
      <c r="G84" s="8" t="s">
        <v>2359</v>
      </c>
      <c r="H84" s="12" t="s">
        <v>194</v>
      </c>
      <c r="I84" s="8" t="s">
        <v>2213</v>
      </c>
      <c r="J84" s="8" t="s">
        <v>2360</v>
      </c>
      <c r="K84" s="8" t="s">
        <v>2215</v>
      </c>
    </row>
    <row r="85" customFormat="false" ht="14.25" hidden="false" customHeight="false" outlineLevel="0" collapsed="false">
      <c r="A85" s="12" t="s">
        <v>418</v>
      </c>
      <c r="B85" s="8" t="s">
        <v>419</v>
      </c>
      <c r="C85" s="8" t="s">
        <v>2209</v>
      </c>
      <c r="D85" s="12" t="s">
        <v>171</v>
      </c>
      <c r="E85" s="8" t="s">
        <v>2221</v>
      </c>
      <c r="F85" s="8" t="s">
        <v>2361</v>
      </c>
      <c r="G85" s="8" t="s">
        <v>2223</v>
      </c>
      <c r="H85" s="12" t="s">
        <v>194</v>
      </c>
      <c r="I85" s="8" t="s">
        <v>2213</v>
      </c>
      <c r="J85" s="8" t="s">
        <v>2362</v>
      </c>
      <c r="K85" s="8" t="s">
        <v>2215</v>
      </c>
    </row>
    <row r="86" customFormat="false" ht="37.5" hidden="false" customHeight="true" outlineLevel="0" collapsed="false">
      <c r="A86" s="12" t="s">
        <v>422</v>
      </c>
      <c r="B86" s="8" t="s">
        <v>425</v>
      </c>
      <c r="C86" s="8" t="s">
        <v>2209</v>
      </c>
      <c r="D86" s="12" t="s">
        <v>171</v>
      </c>
      <c r="E86" s="8" t="s">
        <v>2221</v>
      </c>
      <c r="F86" s="8" t="s">
        <v>2363</v>
      </c>
      <c r="G86" s="8" t="s">
        <v>2223</v>
      </c>
      <c r="H86" s="12" t="s">
        <v>194</v>
      </c>
      <c r="I86" s="8" t="s">
        <v>2213</v>
      </c>
      <c r="J86" s="8" t="s">
        <v>2364</v>
      </c>
      <c r="K86" s="8" t="s">
        <v>2215</v>
      </c>
    </row>
    <row r="87" customFormat="false" ht="24.75" hidden="false" customHeight="true" outlineLevel="0" collapsed="false">
      <c r="A87" s="12" t="s">
        <v>422</v>
      </c>
      <c r="B87" s="8" t="s">
        <v>425</v>
      </c>
      <c r="C87" s="8" t="s">
        <v>2209</v>
      </c>
      <c r="D87" s="12" t="s">
        <v>172</v>
      </c>
      <c r="E87" s="8" t="s">
        <v>2210</v>
      </c>
      <c r="F87" s="8" t="s">
        <v>2246</v>
      </c>
      <c r="G87" s="8" t="s">
        <v>2212</v>
      </c>
      <c r="H87" s="12" t="s">
        <v>194</v>
      </c>
      <c r="I87" s="8" t="s">
        <v>2213</v>
      </c>
      <c r="J87" s="8" t="s">
        <v>2365</v>
      </c>
      <c r="K87" s="8" t="s">
        <v>2215</v>
      </c>
    </row>
    <row r="88" customFormat="false" ht="24.75" hidden="false" customHeight="true" outlineLevel="0" collapsed="false">
      <c r="A88" s="12" t="s">
        <v>422</v>
      </c>
      <c r="B88" s="8" t="s">
        <v>425</v>
      </c>
      <c r="C88" s="8" t="s">
        <v>2209</v>
      </c>
      <c r="D88" s="12" t="s">
        <v>172</v>
      </c>
      <c r="E88" s="8" t="s">
        <v>2210</v>
      </c>
      <c r="F88" s="8" t="s">
        <v>2246</v>
      </c>
      <c r="G88" s="8" t="s">
        <v>2212</v>
      </c>
      <c r="H88" s="12" t="s">
        <v>194</v>
      </c>
      <c r="I88" s="8" t="s">
        <v>2213</v>
      </c>
      <c r="J88" s="8" t="s">
        <v>2366</v>
      </c>
      <c r="K88" s="8" t="s">
        <v>2215</v>
      </c>
    </row>
    <row r="89" customFormat="false" ht="24.75" hidden="false" customHeight="true" outlineLevel="0" collapsed="false">
      <c r="A89" s="12" t="s">
        <v>422</v>
      </c>
      <c r="B89" s="8" t="s">
        <v>425</v>
      </c>
      <c r="C89" s="8" t="s">
        <v>2209</v>
      </c>
      <c r="D89" s="12" t="s">
        <v>174</v>
      </c>
      <c r="E89" s="8" t="s">
        <v>2216</v>
      </c>
      <c r="F89" s="8" t="s">
        <v>2235</v>
      </c>
      <c r="G89" s="8" t="s">
        <v>2218</v>
      </c>
      <c r="H89" s="12" t="s">
        <v>195</v>
      </c>
      <c r="I89" s="8" t="s">
        <v>2213</v>
      </c>
      <c r="J89" s="8" t="s">
        <v>2367</v>
      </c>
      <c r="K89" s="8" t="s">
        <v>2215</v>
      </c>
    </row>
    <row r="90" customFormat="false" ht="24.75" hidden="false" customHeight="true" outlineLevel="0" collapsed="false">
      <c r="A90" s="12" t="s">
        <v>430</v>
      </c>
      <c r="B90" s="8" t="s">
        <v>432</v>
      </c>
      <c r="C90" s="8" t="s">
        <v>2209</v>
      </c>
      <c r="D90" s="12" t="s">
        <v>171</v>
      </c>
      <c r="E90" s="8" t="s">
        <v>2221</v>
      </c>
      <c r="F90" s="8" t="s">
        <v>2368</v>
      </c>
      <c r="G90" s="8" t="s">
        <v>2223</v>
      </c>
      <c r="H90" s="12" t="s">
        <v>194</v>
      </c>
      <c r="I90" s="8" t="s">
        <v>2213</v>
      </c>
      <c r="J90" s="8" t="s">
        <v>2369</v>
      </c>
      <c r="K90" s="8" t="s">
        <v>2215</v>
      </c>
    </row>
    <row r="91" customFormat="false" ht="49.5" hidden="false" customHeight="true" outlineLevel="0" collapsed="false">
      <c r="A91" s="12" t="s">
        <v>430</v>
      </c>
      <c r="B91" s="8" t="s">
        <v>432</v>
      </c>
      <c r="C91" s="8" t="s">
        <v>2209</v>
      </c>
      <c r="D91" s="12" t="s">
        <v>172</v>
      </c>
      <c r="E91" s="8" t="s">
        <v>2210</v>
      </c>
      <c r="F91" s="8" t="s">
        <v>2246</v>
      </c>
      <c r="G91" s="8" t="s">
        <v>2212</v>
      </c>
      <c r="H91" s="12" t="s">
        <v>194</v>
      </c>
      <c r="I91" s="8" t="s">
        <v>2213</v>
      </c>
      <c r="J91" s="8" t="s">
        <v>2370</v>
      </c>
      <c r="K91" s="8" t="s">
        <v>2215</v>
      </c>
    </row>
    <row r="92" customFormat="false" ht="24.75" hidden="false" customHeight="true" outlineLevel="0" collapsed="false">
      <c r="A92" s="12" t="s">
        <v>436</v>
      </c>
      <c r="B92" s="8" t="s">
        <v>438</v>
      </c>
      <c r="C92" s="8" t="s">
        <v>2209</v>
      </c>
      <c r="D92" s="12" t="s">
        <v>171</v>
      </c>
      <c r="E92" s="8" t="s">
        <v>2221</v>
      </c>
      <c r="F92" s="8" t="s">
        <v>2371</v>
      </c>
      <c r="G92" s="8" t="s">
        <v>2223</v>
      </c>
      <c r="H92" s="12" t="s">
        <v>194</v>
      </c>
      <c r="I92" s="8" t="s">
        <v>2213</v>
      </c>
      <c r="J92" s="8" t="s">
        <v>2372</v>
      </c>
      <c r="K92" s="8" t="s">
        <v>2215</v>
      </c>
    </row>
    <row r="93" customFormat="false" ht="24.75" hidden="false" customHeight="true" outlineLevel="0" collapsed="false">
      <c r="A93" s="12" t="s">
        <v>436</v>
      </c>
      <c r="B93" s="8" t="s">
        <v>438</v>
      </c>
      <c r="C93" s="8" t="s">
        <v>2209</v>
      </c>
      <c r="D93" s="12" t="s">
        <v>172</v>
      </c>
      <c r="E93" s="8" t="s">
        <v>2210</v>
      </c>
      <c r="F93" s="8" t="s">
        <v>2246</v>
      </c>
      <c r="G93" s="8" t="s">
        <v>2212</v>
      </c>
      <c r="H93" s="12" t="s">
        <v>194</v>
      </c>
      <c r="I93" s="8" t="s">
        <v>2213</v>
      </c>
      <c r="J93" s="8" t="s">
        <v>2373</v>
      </c>
      <c r="K93" s="8" t="s">
        <v>2215</v>
      </c>
    </row>
    <row r="94" customFormat="false" ht="24.75" hidden="false" customHeight="true" outlineLevel="0" collapsed="false">
      <c r="A94" s="12" t="s">
        <v>436</v>
      </c>
      <c r="B94" s="8" t="s">
        <v>438</v>
      </c>
      <c r="C94" s="8" t="s">
        <v>2209</v>
      </c>
      <c r="D94" s="12" t="s">
        <v>172</v>
      </c>
      <c r="E94" s="8" t="s">
        <v>2210</v>
      </c>
      <c r="F94" s="8" t="s">
        <v>2246</v>
      </c>
      <c r="G94" s="8" t="s">
        <v>2212</v>
      </c>
      <c r="H94" s="12" t="s">
        <v>194</v>
      </c>
      <c r="I94" s="8" t="s">
        <v>2213</v>
      </c>
      <c r="J94" s="8" t="s">
        <v>2374</v>
      </c>
      <c r="K94" s="8" t="s">
        <v>2215</v>
      </c>
    </row>
    <row r="95" customFormat="false" ht="24.75" hidden="false" customHeight="true" outlineLevel="0" collapsed="false">
      <c r="A95" s="12" t="s">
        <v>436</v>
      </c>
      <c r="B95" s="8" t="s">
        <v>438</v>
      </c>
      <c r="C95" s="8" t="s">
        <v>2209</v>
      </c>
      <c r="D95" s="12" t="s">
        <v>172</v>
      </c>
      <c r="E95" s="8" t="s">
        <v>2210</v>
      </c>
      <c r="F95" s="8" t="s">
        <v>2246</v>
      </c>
      <c r="G95" s="8" t="s">
        <v>2212</v>
      </c>
      <c r="H95" s="12" t="s">
        <v>194</v>
      </c>
      <c r="I95" s="8" t="s">
        <v>2213</v>
      </c>
      <c r="J95" s="8" t="s">
        <v>2375</v>
      </c>
      <c r="K95" s="8" t="s">
        <v>2215</v>
      </c>
    </row>
    <row r="96" customFormat="false" ht="24.75" hidden="false" customHeight="true" outlineLevel="0" collapsed="false">
      <c r="A96" s="12" t="s">
        <v>436</v>
      </c>
      <c r="B96" s="8" t="s">
        <v>438</v>
      </c>
      <c r="C96" s="8" t="s">
        <v>2209</v>
      </c>
      <c r="D96" s="12" t="s">
        <v>174</v>
      </c>
      <c r="E96" s="8" t="s">
        <v>2216</v>
      </c>
      <c r="F96" s="8" t="s">
        <v>2235</v>
      </c>
      <c r="G96" s="8" t="s">
        <v>2218</v>
      </c>
      <c r="H96" s="12" t="s">
        <v>195</v>
      </c>
      <c r="I96" s="8" t="s">
        <v>2213</v>
      </c>
      <c r="J96" s="8" t="s">
        <v>2376</v>
      </c>
      <c r="K96" s="8" t="s">
        <v>2215</v>
      </c>
    </row>
    <row r="97" customFormat="false" ht="24.75" hidden="false" customHeight="true" outlineLevel="0" collapsed="false">
      <c r="A97" s="12" t="s">
        <v>442</v>
      </c>
      <c r="B97" s="8" t="s">
        <v>443</v>
      </c>
      <c r="C97" s="8" t="s">
        <v>2209</v>
      </c>
      <c r="D97" s="12" t="s">
        <v>171</v>
      </c>
      <c r="E97" s="8" t="s">
        <v>2221</v>
      </c>
      <c r="F97" s="8" t="s">
        <v>2377</v>
      </c>
      <c r="G97" s="8" t="s">
        <v>2223</v>
      </c>
      <c r="H97" s="12" t="s">
        <v>194</v>
      </c>
      <c r="I97" s="8" t="s">
        <v>2213</v>
      </c>
      <c r="J97" s="8" t="s">
        <v>2378</v>
      </c>
      <c r="K97" s="8" t="s">
        <v>2215</v>
      </c>
    </row>
    <row r="98" customFormat="false" ht="24.75" hidden="false" customHeight="true" outlineLevel="0" collapsed="false">
      <c r="A98" s="12" t="s">
        <v>442</v>
      </c>
      <c r="B98" s="8" t="s">
        <v>443</v>
      </c>
      <c r="C98" s="8" t="s">
        <v>2209</v>
      </c>
      <c r="D98" s="12" t="s">
        <v>172</v>
      </c>
      <c r="E98" s="8" t="s">
        <v>2210</v>
      </c>
      <c r="F98" s="8" t="s">
        <v>2246</v>
      </c>
      <c r="G98" s="8" t="s">
        <v>2212</v>
      </c>
      <c r="H98" s="12" t="s">
        <v>194</v>
      </c>
      <c r="I98" s="8" t="s">
        <v>2213</v>
      </c>
      <c r="J98" s="8" t="s">
        <v>2379</v>
      </c>
      <c r="K98" s="8" t="s">
        <v>2215</v>
      </c>
    </row>
    <row r="99" customFormat="false" ht="24.75" hidden="false" customHeight="true" outlineLevel="0" collapsed="false">
      <c r="A99" s="12" t="s">
        <v>442</v>
      </c>
      <c r="B99" s="8" t="s">
        <v>443</v>
      </c>
      <c r="C99" s="8" t="s">
        <v>2209</v>
      </c>
      <c r="D99" s="12" t="s">
        <v>172</v>
      </c>
      <c r="E99" s="8" t="s">
        <v>2210</v>
      </c>
      <c r="F99" s="8" t="s">
        <v>2246</v>
      </c>
      <c r="G99" s="8" t="s">
        <v>2212</v>
      </c>
      <c r="H99" s="12" t="s">
        <v>194</v>
      </c>
      <c r="I99" s="8" t="s">
        <v>2213</v>
      </c>
      <c r="J99" s="8" t="s">
        <v>2380</v>
      </c>
      <c r="K99" s="8" t="s">
        <v>2215</v>
      </c>
    </row>
    <row r="100" customFormat="false" ht="24.75" hidden="false" customHeight="true" outlineLevel="0" collapsed="false">
      <c r="A100" s="12" t="s">
        <v>442</v>
      </c>
      <c r="B100" s="8" t="s">
        <v>443</v>
      </c>
      <c r="C100" s="8" t="s">
        <v>2209</v>
      </c>
      <c r="D100" s="12" t="s">
        <v>174</v>
      </c>
      <c r="E100" s="8" t="s">
        <v>2216</v>
      </c>
      <c r="F100" s="8" t="s">
        <v>2235</v>
      </c>
      <c r="G100" s="8" t="s">
        <v>2218</v>
      </c>
      <c r="H100" s="12" t="s">
        <v>195</v>
      </c>
      <c r="I100" s="8" t="s">
        <v>2213</v>
      </c>
      <c r="J100" s="8" t="s">
        <v>2367</v>
      </c>
      <c r="K100" s="8" t="s">
        <v>2215</v>
      </c>
    </row>
    <row r="101" customFormat="false" ht="24.75" hidden="false" customHeight="true" outlineLevel="0" collapsed="false">
      <c r="A101" s="12" t="s">
        <v>446</v>
      </c>
      <c r="B101" s="8" t="s">
        <v>447</v>
      </c>
      <c r="C101" s="8" t="s">
        <v>2209</v>
      </c>
      <c r="D101" s="12" t="s">
        <v>171</v>
      </c>
      <c r="E101" s="8" t="s">
        <v>2221</v>
      </c>
      <c r="F101" s="8" t="s">
        <v>2381</v>
      </c>
      <c r="G101" s="8" t="s">
        <v>2223</v>
      </c>
      <c r="H101" s="12" t="s">
        <v>194</v>
      </c>
      <c r="I101" s="8" t="s">
        <v>2213</v>
      </c>
      <c r="J101" s="8" t="s">
        <v>2382</v>
      </c>
      <c r="K101" s="8" t="s">
        <v>2215</v>
      </c>
    </row>
    <row r="102" customFormat="false" ht="24.75" hidden="false" customHeight="true" outlineLevel="0" collapsed="false">
      <c r="A102" s="12" t="s">
        <v>446</v>
      </c>
      <c r="B102" s="8" t="s">
        <v>447</v>
      </c>
      <c r="C102" s="8" t="s">
        <v>2209</v>
      </c>
      <c r="D102" s="12" t="s">
        <v>172</v>
      </c>
      <c r="E102" s="8" t="s">
        <v>2210</v>
      </c>
      <c r="F102" s="8" t="s">
        <v>2246</v>
      </c>
      <c r="G102" s="8" t="s">
        <v>2212</v>
      </c>
      <c r="H102" s="12" t="s">
        <v>194</v>
      </c>
      <c r="I102" s="8" t="s">
        <v>2213</v>
      </c>
      <c r="J102" s="8" t="s">
        <v>2383</v>
      </c>
      <c r="K102" s="8" t="s">
        <v>2215</v>
      </c>
    </row>
    <row r="103" customFormat="false" ht="24.75" hidden="false" customHeight="true" outlineLevel="0" collapsed="false">
      <c r="A103" s="12" t="s">
        <v>452</v>
      </c>
      <c r="B103" s="8" t="s">
        <v>453</v>
      </c>
      <c r="C103" s="8" t="s">
        <v>2209</v>
      </c>
      <c r="D103" s="12" t="s">
        <v>171</v>
      </c>
      <c r="E103" s="8" t="s">
        <v>2221</v>
      </c>
      <c r="F103" s="8" t="s">
        <v>2384</v>
      </c>
      <c r="G103" s="8" t="s">
        <v>2223</v>
      </c>
      <c r="H103" s="12" t="s">
        <v>194</v>
      </c>
      <c r="I103" s="8" t="s">
        <v>2213</v>
      </c>
      <c r="J103" s="8" t="s">
        <v>2385</v>
      </c>
      <c r="K103" s="8" t="s">
        <v>2215</v>
      </c>
    </row>
    <row r="104" customFormat="false" ht="24.75" hidden="false" customHeight="true" outlineLevel="0" collapsed="false">
      <c r="A104" s="12" t="s">
        <v>452</v>
      </c>
      <c r="B104" s="8" t="s">
        <v>453</v>
      </c>
      <c r="C104" s="8" t="s">
        <v>2209</v>
      </c>
      <c r="D104" s="12" t="s">
        <v>171</v>
      </c>
      <c r="E104" s="8" t="s">
        <v>2221</v>
      </c>
      <c r="F104" s="8" t="s">
        <v>2386</v>
      </c>
      <c r="G104" s="8" t="s">
        <v>2223</v>
      </c>
      <c r="H104" s="12" t="s">
        <v>194</v>
      </c>
      <c r="I104" s="8" t="s">
        <v>2213</v>
      </c>
      <c r="J104" s="8" t="s">
        <v>2387</v>
      </c>
      <c r="K104" s="8" t="s">
        <v>2215</v>
      </c>
    </row>
    <row r="105" customFormat="false" ht="37.5" hidden="false" customHeight="true" outlineLevel="0" collapsed="false">
      <c r="A105" s="12" t="s">
        <v>452</v>
      </c>
      <c r="B105" s="8" t="s">
        <v>453</v>
      </c>
      <c r="C105" s="8" t="s">
        <v>2209</v>
      </c>
      <c r="D105" s="12" t="s">
        <v>172</v>
      </c>
      <c r="E105" s="8" t="s">
        <v>2210</v>
      </c>
      <c r="F105" s="8" t="s">
        <v>2246</v>
      </c>
      <c r="G105" s="8" t="s">
        <v>2212</v>
      </c>
      <c r="H105" s="12" t="s">
        <v>194</v>
      </c>
      <c r="I105" s="8" t="s">
        <v>2213</v>
      </c>
      <c r="J105" s="8" t="s">
        <v>2388</v>
      </c>
      <c r="K105" s="8" t="s">
        <v>2215</v>
      </c>
    </row>
    <row r="106" customFormat="false" ht="24.75" hidden="false" customHeight="true" outlineLevel="0" collapsed="false">
      <c r="A106" s="12" t="s">
        <v>457</v>
      </c>
      <c r="B106" s="8" t="s">
        <v>458</v>
      </c>
      <c r="C106" s="8" t="s">
        <v>2209</v>
      </c>
      <c r="D106" s="12" t="s">
        <v>171</v>
      </c>
      <c r="E106" s="8" t="s">
        <v>2221</v>
      </c>
      <c r="F106" s="8" t="s">
        <v>2389</v>
      </c>
      <c r="G106" s="8" t="s">
        <v>2223</v>
      </c>
      <c r="H106" s="12" t="s">
        <v>194</v>
      </c>
      <c r="I106" s="8" t="s">
        <v>2213</v>
      </c>
      <c r="J106" s="8" t="s">
        <v>2390</v>
      </c>
      <c r="K106" s="8" t="s">
        <v>2215</v>
      </c>
    </row>
    <row r="107" customFormat="false" ht="24.75" hidden="false" customHeight="true" outlineLevel="0" collapsed="false">
      <c r="A107" s="12" t="s">
        <v>462</v>
      </c>
      <c r="B107" s="8" t="s">
        <v>463</v>
      </c>
      <c r="C107" s="8" t="s">
        <v>2209</v>
      </c>
      <c r="D107" s="12" t="s">
        <v>172</v>
      </c>
      <c r="E107" s="8" t="s">
        <v>2210</v>
      </c>
      <c r="F107" s="8" t="s">
        <v>2246</v>
      </c>
      <c r="G107" s="8" t="s">
        <v>2212</v>
      </c>
      <c r="H107" s="12" t="s">
        <v>194</v>
      </c>
      <c r="I107" s="8" t="s">
        <v>2213</v>
      </c>
      <c r="J107" s="8" t="s">
        <v>2391</v>
      </c>
      <c r="K107" s="8" t="s">
        <v>2215</v>
      </c>
    </row>
    <row r="108" customFormat="false" ht="24.75" hidden="false" customHeight="true" outlineLevel="0" collapsed="false">
      <c r="A108" s="12" t="s">
        <v>466</v>
      </c>
      <c r="B108" s="8" t="s">
        <v>467</v>
      </c>
      <c r="C108" s="8" t="s">
        <v>2209</v>
      </c>
      <c r="D108" s="12" t="s">
        <v>172</v>
      </c>
      <c r="E108" s="8" t="s">
        <v>2210</v>
      </c>
      <c r="F108" s="8" t="s">
        <v>2246</v>
      </c>
      <c r="G108" s="8" t="s">
        <v>2212</v>
      </c>
      <c r="H108" s="12" t="s">
        <v>194</v>
      </c>
      <c r="I108" s="8" t="s">
        <v>2213</v>
      </c>
      <c r="J108" s="8" t="s">
        <v>2392</v>
      </c>
      <c r="K108" s="8" t="s">
        <v>2215</v>
      </c>
    </row>
    <row r="109" customFormat="false" ht="24.75" hidden="false" customHeight="true" outlineLevel="0" collapsed="false">
      <c r="A109" s="12" t="s">
        <v>466</v>
      </c>
      <c r="B109" s="8" t="s">
        <v>467</v>
      </c>
      <c r="C109" s="8" t="s">
        <v>2209</v>
      </c>
      <c r="D109" s="12" t="s">
        <v>172</v>
      </c>
      <c r="E109" s="8" t="s">
        <v>2210</v>
      </c>
      <c r="F109" s="8" t="s">
        <v>2246</v>
      </c>
      <c r="G109" s="8" t="s">
        <v>2212</v>
      </c>
      <c r="H109" s="12" t="s">
        <v>194</v>
      </c>
      <c r="I109" s="8" t="s">
        <v>2213</v>
      </c>
      <c r="J109" s="8" t="s">
        <v>2393</v>
      </c>
      <c r="K109" s="8" t="s">
        <v>2215</v>
      </c>
    </row>
    <row r="110" customFormat="false" ht="24.75" hidden="false" customHeight="true" outlineLevel="0" collapsed="false">
      <c r="A110" s="12" t="s">
        <v>470</v>
      </c>
      <c r="B110" s="8" t="s">
        <v>471</v>
      </c>
      <c r="C110" s="8" t="s">
        <v>2209</v>
      </c>
      <c r="D110" s="12" t="s">
        <v>171</v>
      </c>
      <c r="E110" s="8" t="s">
        <v>2221</v>
      </c>
      <c r="F110" s="8" t="s">
        <v>2394</v>
      </c>
      <c r="G110" s="8" t="s">
        <v>2223</v>
      </c>
      <c r="H110" s="12" t="s">
        <v>194</v>
      </c>
      <c r="I110" s="8" t="s">
        <v>2213</v>
      </c>
      <c r="J110" s="8" t="s">
        <v>2395</v>
      </c>
      <c r="K110" s="8" t="s">
        <v>2215</v>
      </c>
    </row>
    <row r="111" customFormat="false" ht="14.25" hidden="false" customHeight="false" outlineLevel="0" collapsed="false">
      <c r="A111" s="12" t="s">
        <v>475</v>
      </c>
      <c r="B111" s="8" t="s">
        <v>476</v>
      </c>
      <c r="C111" s="8" t="s">
        <v>2209</v>
      </c>
      <c r="D111" s="12" t="s">
        <v>171</v>
      </c>
      <c r="E111" s="8" t="s">
        <v>2221</v>
      </c>
      <c r="F111" s="8" t="s">
        <v>2396</v>
      </c>
      <c r="G111" s="8" t="s">
        <v>2397</v>
      </c>
      <c r="H111" s="12" t="s">
        <v>232</v>
      </c>
      <c r="I111" s="8" t="s">
        <v>2213</v>
      </c>
      <c r="J111" s="8" t="s">
        <v>2398</v>
      </c>
      <c r="K111" s="8" t="s">
        <v>2215</v>
      </c>
    </row>
    <row r="112" customFormat="false" ht="24.75" hidden="false" customHeight="true" outlineLevel="0" collapsed="false">
      <c r="A112" s="12" t="s">
        <v>480</v>
      </c>
      <c r="B112" s="8" t="s">
        <v>482</v>
      </c>
      <c r="C112" s="8" t="s">
        <v>2209</v>
      </c>
      <c r="D112" s="12" t="s">
        <v>171</v>
      </c>
      <c r="E112" s="8" t="s">
        <v>2221</v>
      </c>
      <c r="F112" s="8" t="s">
        <v>2399</v>
      </c>
      <c r="G112" s="8" t="s">
        <v>2223</v>
      </c>
      <c r="H112" s="12" t="s">
        <v>194</v>
      </c>
      <c r="I112" s="8" t="s">
        <v>2213</v>
      </c>
      <c r="J112" s="8" t="s">
        <v>2400</v>
      </c>
      <c r="K112" s="8" t="s">
        <v>2215</v>
      </c>
    </row>
    <row r="113" customFormat="false" ht="24.75" hidden="false" customHeight="true" outlineLevel="0" collapsed="false">
      <c r="A113" s="12" t="s">
        <v>480</v>
      </c>
      <c r="B113" s="8" t="s">
        <v>482</v>
      </c>
      <c r="C113" s="8" t="s">
        <v>2209</v>
      </c>
      <c r="D113" s="12" t="s">
        <v>171</v>
      </c>
      <c r="E113" s="8" t="s">
        <v>2221</v>
      </c>
      <c r="F113" s="8" t="s">
        <v>2401</v>
      </c>
      <c r="G113" s="8" t="s">
        <v>2223</v>
      </c>
      <c r="H113" s="12" t="s">
        <v>194</v>
      </c>
      <c r="I113" s="8" t="s">
        <v>2213</v>
      </c>
      <c r="J113" s="8" t="s">
        <v>2402</v>
      </c>
      <c r="K113" s="8" t="s">
        <v>2215</v>
      </c>
    </row>
    <row r="114" customFormat="false" ht="24.75" hidden="false" customHeight="true" outlineLevel="0" collapsed="false">
      <c r="A114" s="12" t="s">
        <v>480</v>
      </c>
      <c r="B114" s="8" t="s">
        <v>482</v>
      </c>
      <c r="C114" s="8" t="s">
        <v>2209</v>
      </c>
      <c r="D114" s="12" t="s">
        <v>171</v>
      </c>
      <c r="E114" s="8" t="s">
        <v>2221</v>
      </c>
      <c r="F114" s="8" t="s">
        <v>2384</v>
      </c>
      <c r="G114" s="8" t="s">
        <v>2223</v>
      </c>
      <c r="H114" s="12" t="s">
        <v>194</v>
      </c>
      <c r="I114" s="8" t="s">
        <v>2213</v>
      </c>
      <c r="J114" s="8" t="s">
        <v>2385</v>
      </c>
      <c r="K114" s="8" t="s">
        <v>2215</v>
      </c>
    </row>
    <row r="115" customFormat="false" ht="24.75" hidden="false" customHeight="true" outlineLevel="0" collapsed="false">
      <c r="A115" s="12" t="s">
        <v>486</v>
      </c>
      <c r="B115" s="8" t="s">
        <v>487</v>
      </c>
      <c r="C115" s="8" t="s">
        <v>2209</v>
      </c>
      <c r="D115" s="12" t="s">
        <v>171</v>
      </c>
      <c r="E115" s="8" t="s">
        <v>2221</v>
      </c>
      <c r="F115" s="8" t="s">
        <v>2403</v>
      </c>
      <c r="G115" s="8" t="s">
        <v>2326</v>
      </c>
      <c r="H115" s="12" t="s">
        <v>195</v>
      </c>
      <c r="I115" s="8" t="s">
        <v>2213</v>
      </c>
      <c r="J115" s="8" t="s">
        <v>2404</v>
      </c>
      <c r="K115" s="8" t="s">
        <v>2215</v>
      </c>
    </row>
    <row r="116" customFormat="false" ht="37.5" hidden="false" customHeight="true" outlineLevel="0" collapsed="false">
      <c r="A116" s="12" t="s">
        <v>486</v>
      </c>
      <c r="B116" s="8" t="s">
        <v>487</v>
      </c>
      <c r="C116" s="8" t="s">
        <v>2209</v>
      </c>
      <c r="D116" s="12" t="s">
        <v>174</v>
      </c>
      <c r="E116" s="8" t="s">
        <v>2216</v>
      </c>
      <c r="F116" s="8" t="s">
        <v>2405</v>
      </c>
      <c r="G116" s="8" t="s">
        <v>2218</v>
      </c>
      <c r="H116" s="12" t="s">
        <v>195</v>
      </c>
      <c r="I116" s="8" t="s">
        <v>2213</v>
      </c>
      <c r="J116" s="8" t="s">
        <v>2406</v>
      </c>
      <c r="K116" s="8" t="s">
        <v>2215</v>
      </c>
    </row>
    <row r="117" customFormat="false" ht="24.75" hidden="false" customHeight="true" outlineLevel="0" collapsed="false">
      <c r="A117" s="12" t="s">
        <v>491</v>
      </c>
      <c r="B117" s="8" t="s">
        <v>493</v>
      </c>
      <c r="C117" s="8" t="s">
        <v>2209</v>
      </c>
      <c r="D117" s="12" t="s">
        <v>171</v>
      </c>
      <c r="E117" s="8" t="s">
        <v>2221</v>
      </c>
      <c r="F117" s="8" t="s">
        <v>2407</v>
      </c>
      <c r="G117" s="8" t="s">
        <v>2408</v>
      </c>
      <c r="H117" s="12" t="s">
        <v>194</v>
      </c>
      <c r="I117" s="8" t="s">
        <v>2213</v>
      </c>
      <c r="J117" s="8" t="s">
        <v>2409</v>
      </c>
      <c r="K117" s="8" t="s">
        <v>2215</v>
      </c>
    </row>
    <row r="118" customFormat="false" ht="24.75" hidden="false" customHeight="true" outlineLevel="0" collapsed="false">
      <c r="A118" s="12" t="s">
        <v>491</v>
      </c>
      <c r="B118" s="8" t="s">
        <v>493</v>
      </c>
      <c r="C118" s="8" t="s">
        <v>2209</v>
      </c>
      <c r="D118" s="12" t="s">
        <v>171</v>
      </c>
      <c r="E118" s="8" t="s">
        <v>2221</v>
      </c>
      <c r="F118" s="8" t="s">
        <v>2410</v>
      </c>
      <c r="G118" s="8" t="s">
        <v>2223</v>
      </c>
      <c r="H118" s="12" t="s">
        <v>194</v>
      </c>
      <c r="I118" s="8" t="s">
        <v>2213</v>
      </c>
      <c r="J118" s="8" t="s">
        <v>2411</v>
      </c>
      <c r="K118" s="8" t="s">
        <v>2215</v>
      </c>
    </row>
    <row r="119" customFormat="false" ht="24.75" hidden="false" customHeight="true" outlineLevel="0" collapsed="false">
      <c r="A119" s="12" t="s">
        <v>491</v>
      </c>
      <c r="B119" s="8" t="s">
        <v>493</v>
      </c>
      <c r="C119" s="8" t="s">
        <v>2209</v>
      </c>
      <c r="D119" s="12" t="s">
        <v>171</v>
      </c>
      <c r="E119" s="8" t="s">
        <v>2221</v>
      </c>
      <c r="F119" s="8" t="s">
        <v>2412</v>
      </c>
      <c r="G119" s="8" t="s">
        <v>2223</v>
      </c>
      <c r="H119" s="12" t="s">
        <v>194</v>
      </c>
      <c r="I119" s="8" t="s">
        <v>2213</v>
      </c>
      <c r="J119" s="8" t="s">
        <v>2413</v>
      </c>
      <c r="K119" s="8" t="s">
        <v>2215</v>
      </c>
    </row>
    <row r="120" customFormat="false" ht="37.5" hidden="false" customHeight="true" outlineLevel="0" collapsed="false">
      <c r="A120" s="12" t="s">
        <v>491</v>
      </c>
      <c r="B120" s="8" t="s">
        <v>493</v>
      </c>
      <c r="C120" s="8" t="s">
        <v>2209</v>
      </c>
      <c r="D120" s="12" t="s">
        <v>172</v>
      </c>
      <c r="E120" s="8" t="s">
        <v>2210</v>
      </c>
      <c r="F120" s="8" t="s">
        <v>2414</v>
      </c>
      <c r="G120" s="8" t="s">
        <v>2212</v>
      </c>
      <c r="H120" s="12" t="s">
        <v>194</v>
      </c>
      <c r="I120" s="8" t="s">
        <v>2213</v>
      </c>
      <c r="J120" s="8" t="s">
        <v>2415</v>
      </c>
      <c r="K120" s="8" t="s">
        <v>2215</v>
      </c>
    </row>
    <row r="121" customFormat="false" ht="14.25" hidden="false" customHeight="false" outlineLevel="0" collapsed="false">
      <c r="A121" s="12" t="s">
        <v>497</v>
      </c>
      <c r="B121" s="8" t="s">
        <v>498</v>
      </c>
      <c r="C121" s="8" t="s">
        <v>2209</v>
      </c>
      <c r="D121" s="12" t="s">
        <v>171</v>
      </c>
      <c r="E121" s="8" t="s">
        <v>2221</v>
      </c>
      <c r="F121" s="8" t="s">
        <v>2416</v>
      </c>
      <c r="G121" s="8" t="s">
        <v>2223</v>
      </c>
      <c r="H121" s="12" t="s">
        <v>194</v>
      </c>
      <c r="I121" s="8" t="s">
        <v>2213</v>
      </c>
      <c r="J121" s="8" t="s">
        <v>2417</v>
      </c>
      <c r="K121" s="8" t="s">
        <v>2215</v>
      </c>
    </row>
    <row r="122" customFormat="false" ht="24.75" hidden="false" customHeight="true" outlineLevel="0" collapsed="false">
      <c r="A122" s="12" t="s">
        <v>501</v>
      </c>
      <c r="B122" s="8" t="s">
        <v>502</v>
      </c>
      <c r="C122" s="8" t="s">
        <v>2209</v>
      </c>
      <c r="D122" s="12" t="s">
        <v>171</v>
      </c>
      <c r="E122" s="8" t="s">
        <v>2221</v>
      </c>
      <c r="F122" s="8" t="s">
        <v>2418</v>
      </c>
      <c r="G122" s="8" t="s">
        <v>2223</v>
      </c>
      <c r="H122" s="12" t="s">
        <v>194</v>
      </c>
      <c r="I122" s="8" t="s">
        <v>2213</v>
      </c>
      <c r="J122" s="8" t="s">
        <v>2419</v>
      </c>
      <c r="K122" s="8" t="s">
        <v>2215</v>
      </c>
    </row>
    <row r="123" customFormat="false" ht="24.75" hidden="false" customHeight="true" outlineLevel="0" collapsed="false">
      <c r="A123" s="12" t="s">
        <v>501</v>
      </c>
      <c r="B123" s="8" t="s">
        <v>502</v>
      </c>
      <c r="C123" s="8" t="s">
        <v>2209</v>
      </c>
      <c r="D123" s="12" t="s">
        <v>171</v>
      </c>
      <c r="E123" s="8" t="s">
        <v>2221</v>
      </c>
      <c r="F123" s="8" t="s">
        <v>2323</v>
      </c>
      <c r="G123" s="8" t="s">
        <v>2223</v>
      </c>
      <c r="H123" s="12" t="s">
        <v>194</v>
      </c>
      <c r="I123" s="8" t="s">
        <v>2213</v>
      </c>
      <c r="J123" s="8" t="s">
        <v>2324</v>
      </c>
      <c r="K123" s="8" t="s">
        <v>2215</v>
      </c>
    </row>
    <row r="124" customFormat="false" ht="14.25" hidden="false" customHeight="false" outlineLevel="0" collapsed="false">
      <c r="A124" s="12" t="s">
        <v>506</v>
      </c>
      <c r="B124" s="8" t="s">
        <v>507</v>
      </c>
      <c r="C124" s="8" t="s">
        <v>2209</v>
      </c>
      <c r="D124" s="12" t="s">
        <v>171</v>
      </c>
      <c r="E124" s="8" t="s">
        <v>2221</v>
      </c>
      <c r="F124" s="8" t="s">
        <v>2420</v>
      </c>
      <c r="G124" s="8" t="s">
        <v>2223</v>
      </c>
      <c r="H124" s="12" t="s">
        <v>194</v>
      </c>
      <c r="I124" s="8" t="s">
        <v>2213</v>
      </c>
      <c r="J124" s="8" t="s">
        <v>2421</v>
      </c>
      <c r="K124" s="8" t="s">
        <v>2215</v>
      </c>
    </row>
    <row r="125" customFormat="false" ht="24.75" hidden="false" customHeight="true" outlineLevel="0" collapsed="false">
      <c r="A125" s="12" t="s">
        <v>511</v>
      </c>
      <c r="B125" s="8" t="s">
        <v>513</v>
      </c>
      <c r="C125" s="8" t="s">
        <v>2209</v>
      </c>
      <c r="D125" s="12" t="s">
        <v>171</v>
      </c>
      <c r="E125" s="8" t="s">
        <v>2221</v>
      </c>
      <c r="F125" s="8" t="s">
        <v>2422</v>
      </c>
      <c r="G125" s="8" t="s">
        <v>2397</v>
      </c>
      <c r="H125" s="12" t="s">
        <v>232</v>
      </c>
      <c r="I125" s="8" t="s">
        <v>2213</v>
      </c>
      <c r="J125" s="8" t="s">
        <v>2423</v>
      </c>
      <c r="K125" s="8" t="s">
        <v>2215</v>
      </c>
    </row>
    <row r="126" customFormat="false" ht="24.75" hidden="false" customHeight="true" outlineLevel="0" collapsed="false">
      <c r="A126" s="12" t="s">
        <v>511</v>
      </c>
      <c r="B126" s="8" t="s">
        <v>513</v>
      </c>
      <c r="C126" s="8" t="s">
        <v>2209</v>
      </c>
      <c r="D126" s="12" t="s">
        <v>171</v>
      </c>
      <c r="E126" s="8" t="s">
        <v>2221</v>
      </c>
      <c r="F126" s="8" t="s">
        <v>2424</v>
      </c>
      <c r="G126" s="8" t="s">
        <v>2223</v>
      </c>
      <c r="H126" s="12" t="s">
        <v>194</v>
      </c>
      <c r="I126" s="8" t="s">
        <v>2213</v>
      </c>
      <c r="J126" s="8" t="s">
        <v>2425</v>
      </c>
      <c r="K126" s="8" t="s">
        <v>2215</v>
      </c>
    </row>
    <row r="127" customFormat="false" ht="24.75" hidden="false" customHeight="true" outlineLevel="0" collapsed="false">
      <c r="A127" s="12" t="s">
        <v>511</v>
      </c>
      <c r="B127" s="8" t="s">
        <v>513</v>
      </c>
      <c r="C127" s="8" t="s">
        <v>2209</v>
      </c>
      <c r="D127" s="12" t="s">
        <v>172</v>
      </c>
      <c r="E127" s="8" t="s">
        <v>2210</v>
      </c>
      <c r="F127" s="8" t="s">
        <v>2426</v>
      </c>
      <c r="G127" s="8" t="s">
        <v>2212</v>
      </c>
      <c r="H127" s="12" t="s">
        <v>194</v>
      </c>
      <c r="I127" s="8" t="s">
        <v>2213</v>
      </c>
      <c r="J127" s="8" t="s">
        <v>2427</v>
      </c>
      <c r="K127" s="8" t="s">
        <v>2215</v>
      </c>
    </row>
    <row r="128" customFormat="false" ht="24.75" hidden="false" customHeight="true" outlineLevel="0" collapsed="false">
      <c r="A128" s="12" t="s">
        <v>517</v>
      </c>
      <c r="B128" s="8" t="s">
        <v>519</v>
      </c>
      <c r="C128" s="8" t="s">
        <v>2209</v>
      </c>
      <c r="D128" s="12" t="s">
        <v>171</v>
      </c>
      <c r="E128" s="8" t="s">
        <v>2221</v>
      </c>
      <c r="F128" s="8" t="s">
        <v>2428</v>
      </c>
      <c r="G128" s="8" t="s">
        <v>2408</v>
      </c>
      <c r="H128" s="12" t="s">
        <v>194</v>
      </c>
      <c r="I128" s="8" t="s">
        <v>2213</v>
      </c>
      <c r="J128" s="8" t="s">
        <v>2429</v>
      </c>
      <c r="K128" s="8" t="s">
        <v>2215</v>
      </c>
    </row>
    <row r="129" customFormat="false" ht="24.75" hidden="false" customHeight="true" outlineLevel="0" collapsed="false">
      <c r="A129" s="12" t="s">
        <v>517</v>
      </c>
      <c r="B129" s="8" t="s">
        <v>519</v>
      </c>
      <c r="C129" s="8" t="s">
        <v>2209</v>
      </c>
      <c r="D129" s="12" t="s">
        <v>171</v>
      </c>
      <c r="E129" s="8" t="s">
        <v>2221</v>
      </c>
      <c r="F129" s="8" t="s">
        <v>2430</v>
      </c>
      <c r="G129" s="8" t="s">
        <v>2223</v>
      </c>
      <c r="H129" s="12" t="s">
        <v>194</v>
      </c>
      <c r="I129" s="8" t="s">
        <v>2213</v>
      </c>
      <c r="J129" s="8" t="s">
        <v>2431</v>
      </c>
      <c r="K129" s="8" t="s">
        <v>2215</v>
      </c>
    </row>
    <row r="130" customFormat="false" ht="24.75" hidden="false" customHeight="true" outlineLevel="0" collapsed="false">
      <c r="A130" s="12" t="s">
        <v>517</v>
      </c>
      <c r="B130" s="8" t="s">
        <v>519</v>
      </c>
      <c r="C130" s="8" t="s">
        <v>2209</v>
      </c>
      <c r="D130" s="12" t="s">
        <v>171</v>
      </c>
      <c r="E130" s="8" t="s">
        <v>2221</v>
      </c>
      <c r="F130" s="8" t="s">
        <v>2432</v>
      </c>
      <c r="G130" s="8" t="s">
        <v>2223</v>
      </c>
      <c r="H130" s="12" t="s">
        <v>194</v>
      </c>
      <c r="I130" s="8" t="s">
        <v>2213</v>
      </c>
      <c r="J130" s="8" t="s">
        <v>2433</v>
      </c>
      <c r="K130" s="8" t="s">
        <v>2215</v>
      </c>
    </row>
    <row r="131" customFormat="false" ht="37.5" hidden="false" customHeight="true" outlineLevel="0" collapsed="false">
      <c r="A131" s="12" t="s">
        <v>523</v>
      </c>
      <c r="B131" s="8" t="s">
        <v>524</v>
      </c>
      <c r="C131" s="8" t="s">
        <v>2209</v>
      </c>
      <c r="D131" s="12" t="s">
        <v>171</v>
      </c>
      <c r="E131" s="8" t="s">
        <v>2221</v>
      </c>
      <c r="F131" s="8" t="s">
        <v>2434</v>
      </c>
      <c r="G131" s="8" t="s">
        <v>2397</v>
      </c>
      <c r="H131" s="12" t="s">
        <v>232</v>
      </c>
      <c r="I131" s="8" t="s">
        <v>2213</v>
      </c>
      <c r="J131" s="8" t="s">
        <v>2435</v>
      </c>
      <c r="K131" s="8" t="s">
        <v>2215</v>
      </c>
    </row>
    <row r="132" customFormat="false" ht="24.75" hidden="false" customHeight="true" outlineLevel="0" collapsed="false">
      <c r="A132" s="12" t="s">
        <v>523</v>
      </c>
      <c r="B132" s="8" t="s">
        <v>524</v>
      </c>
      <c r="C132" s="8" t="s">
        <v>2209</v>
      </c>
      <c r="D132" s="12" t="s">
        <v>171</v>
      </c>
      <c r="E132" s="8" t="s">
        <v>2221</v>
      </c>
      <c r="F132" s="8" t="s">
        <v>2436</v>
      </c>
      <c r="G132" s="8" t="s">
        <v>2437</v>
      </c>
      <c r="H132" s="12" t="s">
        <v>232</v>
      </c>
      <c r="I132" s="8" t="s">
        <v>2213</v>
      </c>
      <c r="J132" s="8" t="s">
        <v>2438</v>
      </c>
      <c r="K132" s="8" t="s">
        <v>2215</v>
      </c>
    </row>
    <row r="133" customFormat="false" ht="14.25" hidden="false" customHeight="false" outlineLevel="0" collapsed="false">
      <c r="A133" s="12" t="s">
        <v>527</v>
      </c>
      <c r="B133" s="8" t="s">
        <v>528</v>
      </c>
      <c r="C133" s="8" t="s">
        <v>2209</v>
      </c>
      <c r="D133" s="12" t="s">
        <v>171</v>
      </c>
      <c r="E133" s="8" t="s">
        <v>2221</v>
      </c>
      <c r="F133" s="8" t="s">
        <v>2439</v>
      </c>
      <c r="G133" s="8" t="s">
        <v>2397</v>
      </c>
      <c r="H133" s="12" t="s">
        <v>232</v>
      </c>
      <c r="I133" s="8" t="s">
        <v>2213</v>
      </c>
      <c r="J133" s="8" t="s">
        <v>2440</v>
      </c>
      <c r="K133" s="8" t="s">
        <v>2215</v>
      </c>
    </row>
    <row r="134" customFormat="false" ht="24.75" hidden="false" customHeight="true" outlineLevel="0" collapsed="false">
      <c r="A134" s="12" t="s">
        <v>531</v>
      </c>
      <c r="B134" s="8" t="s">
        <v>534</v>
      </c>
      <c r="C134" s="8" t="s">
        <v>2209</v>
      </c>
      <c r="D134" s="12" t="s">
        <v>171</v>
      </c>
      <c r="E134" s="8" t="s">
        <v>2221</v>
      </c>
      <c r="F134" s="8" t="s">
        <v>2441</v>
      </c>
      <c r="G134" s="8" t="s">
        <v>2223</v>
      </c>
      <c r="H134" s="12" t="s">
        <v>194</v>
      </c>
      <c r="I134" s="8" t="s">
        <v>2213</v>
      </c>
      <c r="J134" s="8" t="s">
        <v>2442</v>
      </c>
      <c r="K134" s="8" t="s">
        <v>2215</v>
      </c>
    </row>
    <row r="135" customFormat="false" ht="24.75" hidden="false" customHeight="true" outlineLevel="0" collapsed="false">
      <c r="A135" s="12" t="s">
        <v>531</v>
      </c>
      <c r="B135" s="8" t="s">
        <v>534</v>
      </c>
      <c r="C135" s="8" t="s">
        <v>2209</v>
      </c>
      <c r="D135" s="12" t="s">
        <v>171</v>
      </c>
      <c r="E135" s="8" t="s">
        <v>2221</v>
      </c>
      <c r="F135" s="8" t="s">
        <v>2443</v>
      </c>
      <c r="G135" s="8" t="s">
        <v>2223</v>
      </c>
      <c r="H135" s="12" t="s">
        <v>194</v>
      </c>
      <c r="I135" s="8" t="s">
        <v>2213</v>
      </c>
      <c r="J135" s="8" t="s">
        <v>2444</v>
      </c>
      <c r="K135" s="8" t="s">
        <v>2215</v>
      </c>
    </row>
    <row r="136" customFormat="false" ht="24.75" hidden="false" customHeight="true" outlineLevel="0" collapsed="false">
      <c r="A136" s="12" t="s">
        <v>531</v>
      </c>
      <c r="B136" s="8" t="s">
        <v>534</v>
      </c>
      <c r="C136" s="8" t="s">
        <v>2209</v>
      </c>
      <c r="D136" s="12" t="s">
        <v>172</v>
      </c>
      <c r="E136" s="8" t="s">
        <v>2210</v>
      </c>
      <c r="F136" s="8" t="s">
        <v>2252</v>
      </c>
      <c r="G136" s="8" t="s">
        <v>2212</v>
      </c>
      <c r="H136" s="12" t="s">
        <v>194</v>
      </c>
      <c r="I136" s="8" t="s">
        <v>2213</v>
      </c>
      <c r="J136" s="8" t="s">
        <v>2445</v>
      </c>
      <c r="K136" s="8" t="s">
        <v>2215</v>
      </c>
    </row>
    <row r="137" customFormat="false" ht="24.75" hidden="false" customHeight="true" outlineLevel="0" collapsed="false">
      <c r="A137" s="12" t="s">
        <v>531</v>
      </c>
      <c r="B137" s="8" t="s">
        <v>534</v>
      </c>
      <c r="C137" s="8" t="s">
        <v>2209</v>
      </c>
      <c r="D137" s="12" t="s">
        <v>174</v>
      </c>
      <c r="E137" s="8" t="s">
        <v>2216</v>
      </c>
      <c r="F137" s="8" t="s">
        <v>2235</v>
      </c>
      <c r="G137" s="8" t="s">
        <v>2218</v>
      </c>
      <c r="H137" s="12" t="s">
        <v>195</v>
      </c>
      <c r="I137" s="8" t="s">
        <v>2213</v>
      </c>
      <c r="J137" s="8" t="s">
        <v>2446</v>
      </c>
      <c r="K137" s="8" t="s">
        <v>2215</v>
      </c>
    </row>
    <row r="138" customFormat="false" ht="24.75" hidden="false" customHeight="true" outlineLevel="0" collapsed="false">
      <c r="A138" s="12" t="s">
        <v>531</v>
      </c>
      <c r="B138" s="8" t="s">
        <v>534</v>
      </c>
      <c r="C138" s="8" t="s">
        <v>2209</v>
      </c>
      <c r="D138" s="12" t="s">
        <v>175</v>
      </c>
      <c r="E138" s="8" t="s">
        <v>2237</v>
      </c>
      <c r="F138" s="8" t="s">
        <v>2238</v>
      </c>
      <c r="G138" s="8" t="s">
        <v>2239</v>
      </c>
      <c r="H138" s="12" t="s">
        <v>194</v>
      </c>
      <c r="I138" s="8" t="s">
        <v>2213</v>
      </c>
      <c r="J138" s="8" t="s">
        <v>2447</v>
      </c>
      <c r="K138" s="8" t="s">
        <v>2215</v>
      </c>
    </row>
    <row r="139" customFormat="false" ht="24.75" hidden="false" customHeight="true" outlineLevel="0" collapsed="false">
      <c r="A139" s="12" t="s">
        <v>539</v>
      </c>
      <c r="B139" s="8" t="s">
        <v>540</v>
      </c>
      <c r="C139" s="8" t="s">
        <v>2209</v>
      </c>
      <c r="D139" s="12" t="s">
        <v>172</v>
      </c>
      <c r="E139" s="8" t="s">
        <v>2210</v>
      </c>
      <c r="F139" s="8" t="s">
        <v>2252</v>
      </c>
      <c r="G139" s="8" t="s">
        <v>2212</v>
      </c>
      <c r="H139" s="12" t="s">
        <v>194</v>
      </c>
      <c r="I139" s="8" t="s">
        <v>2213</v>
      </c>
      <c r="J139" s="8" t="s">
        <v>2448</v>
      </c>
      <c r="K139" s="8" t="s">
        <v>2215</v>
      </c>
    </row>
    <row r="140" customFormat="false" ht="24.75" hidden="false" customHeight="true" outlineLevel="0" collapsed="false">
      <c r="A140" s="12" t="s">
        <v>539</v>
      </c>
      <c r="B140" s="8" t="s">
        <v>540</v>
      </c>
      <c r="C140" s="8" t="s">
        <v>2209</v>
      </c>
      <c r="D140" s="12" t="s">
        <v>172</v>
      </c>
      <c r="E140" s="8" t="s">
        <v>2210</v>
      </c>
      <c r="F140" s="8" t="s">
        <v>2252</v>
      </c>
      <c r="G140" s="8" t="s">
        <v>2212</v>
      </c>
      <c r="H140" s="12" t="s">
        <v>194</v>
      </c>
      <c r="I140" s="8" t="s">
        <v>2213</v>
      </c>
      <c r="J140" s="8" t="s">
        <v>2449</v>
      </c>
      <c r="K140" s="8" t="s">
        <v>2215</v>
      </c>
    </row>
    <row r="141" customFormat="false" ht="37.5" hidden="false" customHeight="true" outlineLevel="0" collapsed="false">
      <c r="A141" s="12" t="s">
        <v>539</v>
      </c>
      <c r="B141" s="8" t="s">
        <v>540</v>
      </c>
      <c r="C141" s="8" t="s">
        <v>2209</v>
      </c>
      <c r="D141" s="12" t="s">
        <v>172</v>
      </c>
      <c r="E141" s="8" t="s">
        <v>2210</v>
      </c>
      <c r="F141" s="8" t="s">
        <v>2246</v>
      </c>
      <c r="G141" s="8" t="s">
        <v>2212</v>
      </c>
      <c r="H141" s="12" t="s">
        <v>194</v>
      </c>
      <c r="I141" s="8" t="s">
        <v>2213</v>
      </c>
      <c r="J141" s="8" t="s">
        <v>2450</v>
      </c>
      <c r="K141" s="8" t="s">
        <v>2215</v>
      </c>
    </row>
    <row r="142" customFormat="false" ht="24.75" hidden="false" customHeight="true" outlineLevel="0" collapsed="false">
      <c r="A142" s="12" t="s">
        <v>544</v>
      </c>
      <c r="B142" s="8" t="s">
        <v>545</v>
      </c>
      <c r="C142" s="8" t="s">
        <v>2209</v>
      </c>
      <c r="D142" s="12" t="s">
        <v>171</v>
      </c>
      <c r="E142" s="8" t="s">
        <v>2221</v>
      </c>
      <c r="F142" s="8" t="s">
        <v>2381</v>
      </c>
      <c r="G142" s="8" t="s">
        <v>2223</v>
      </c>
      <c r="H142" s="12" t="s">
        <v>194</v>
      </c>
      <c r="I142" s="8" t="s">
        <v>2213</v>
      </c>
      <c r="J142" s="8" t="s">
        <v>2382</v>
      </c>
      <c r="K142" s="8" t="s">
        <v>2215</v>
      </c>
    </row>
    <row r="143" customFormat="false" ht="24.75" hidden="false" customHeight="true" outlineLevel="0" collapsed="false">
      <c r="A143" s="12" t="s">
        <v>544</v>
      </c>
      <c r="B143" s="8" t="s">
        <v>545</v>
      </c>
      <c r="C143" s="8" t="s">
        <v>2209</v>
      </c>
      <c r="D143" s="12" t="s">
        <v>172</v>
      </c>
      <c r="E143" s="8" t="s">
        <v>2210</v>
      </c>
      <c r="F143" s="8" t="s">
        <v>2252</v>
      </c>
      <c r="G143" s="8" t="s">
        <v>2212</v>
      </c>
      <c r="H143" s="12" t="s">
        <v>194</v>
      </c>
      <c r="I143" s="8" t="s">
        <v>2213</v>
      </c>
      <c r="J143" s="8" t="s">
        <v>2451</v>
      </c>
      <c r="K143" s="8" t="s">
        <v>2215</v>
      </c>
    </row>
    <row r="144" customFormat="false" ht="24.75" hidden="false" customHeight="true" outlineLevel="0" collapsed="false">
      <c r="A144" s="12" t="s">
        <v>544</v>
      </c>
      <c r="B144" s="8" t="s">
        <v>545</v>
      </c>
      <c r="C144" s="8" t="s">
        <v>2209</v>
      </c>
      <c r="D144" s="12" t="s">
        <v>172</v>
      </c>
      <c r="E144" s="8" t="s">
        <v>2210</v>
      </c>
      <c r="F144" s="8" t="s">
        <v>2252</v>
      </c>
      <c r="G144" s="8" t="s">
        <v>2212</v>
      </c>
      <c r="H144" s="12" t="s">
        <v>194</v>
      </c>
      <c r="I144" s="8" t="s">
        <v>2213</v>
      </c>
      <c r="J144" s="8" t="s">
        <v>2452</v>
      </c>
      <c r="K144" s="8" t="s">
        <v>2215</v>
      </c>
    </row>
    <row r="145" customFormat="false" ht="37.5" hidden="false" customHeight="true" outlineLevel="0" collapsed="false">
      <c r="A145" s="12" t="s">
        <v>550</v>
      </c>
      <c r="B145" s="8" t="s">
        <v>551</v>
      </c>
      <c r="C145" s="8" t="s">
        <v>2209</v>
      </c>
      <c r="D145" s="12" t="s">
        <v>172</v>
      </c>
      <c r="E145" s="8" t="s">
        <v>2210</v>
      </c>
      <c r="F145" s="8" t="s">
        <v>2252</v>
      </c>
      <c r="G145" s="8" t="s">
        <v>2212</v>
      </c>
      <c r="H145" s="12" t="s">
        <v>194</v>
      </c>
      <c r="I145" s="8" t="s">
        <v>2213</v>
      </c>
      <c r="J145" s="8" t="s">
        <v>2453</v>
      </c>
      <c r="K145" s="8" t="s">
        <v>2215</v>
      </c>
    </row>
    <row r="146" customFormat="false" ht="24.75" hidden="false" customHeight="true" outlineLevel="0" collapsed="false">
      <c r="A146" s="12" t="s">
        <v>550</v>
      </c>
      <c r="B146" s="8" t="s">
        <v>551</v>
      </c>
      <c r="C146" s="8" t="s">
        <v>2209</v>
      </c>
      <c r="D146" s="12" t="s">
        <v>172</v>
      </c>
      <c r="E146" s="8" t="s">
        <v>2210</v>
      </c>
      <c r="F146" s="8" t="s">
        <v>2252</v>
      </c>
      <c r="G146" s="8" t="s">
        <v>2212</v>
      </c>
      <c r="H146" s="12" t="s">
        <v>194</v>
      </c>
      <c r="I146" s="8" t="s">
        <v>2213</v>
      </c>
      <c r="J146" s="8" t="s">
        <v>2454</v>
      </c>
      <c r="K146" s="8" t="s">
        <v>2215</v>
      </c>
    </row>
    <row r="147" customFormat="false" ht="24.75" hidden="false" customHeight="true" outlineLevel="0" collapsed="false">
      <c r="A147" s="12" t="s">
        <v>554</v>
      </c>
      <c r="B147" s="8" t="s">
        <v>555</v>
      </c>
      <c r="C147" s="8" t="s">
        <v>2209</v>
      </c>
      <c r="D147" s="12" t="s">
        <v>172</v>
      </c>
      <c r="E147" s="8" t="s">
        <v>2210</v>
      </c>
      <c r="F147" s="8" t="s">
        <v>2252</v>
      </c>
      <c r="G147" s="8" t="s">
        <v>2212</v>
      </c>
      <c r="H147" s="12" t="s">
        <v>194</v>
      </c>
      <c r="I147" s="8" t="s">
        <v>2213</v>
      </c>
      <c r="J147" s="8" t="s">
        <v>2455</v>
      </c>
      <c r="K147" s="8" t="s">
        <v>2215</v>
      </c>
    </row>
    <row r="148" customFormat="false" ht="37.5" hidden="false" customHeight="true" outlineLevel="0" collapsed="false">
      <c r="A148" s="12" t="s">
        <v>554</v>
      </c>
      <c r="B148" s="8" t="s">
        <v>555</v>
      </c>
      <c r="C148" s="8" t="s">
        <v>2209</v>
      </c>
      <c r="D148" s="12" t="s">
        <v>172</v>
      </c>
      <c r="E148" s="8" t="s">
        <v>2210</v>
      </c>
      <c r="F148" s="8" t="s">
        <v>2252</v>
      </c>
      <c r="G148" s="8" t="s">
        <v>2212</v>
      </c>
      <c r="H148" s="12" t="s">
        <v>194</v>
      </c>
      <c r="I148" s="8" t="s">
        <v>2213</v>
      </c>
      <c r="J148" s="8" t="s">
        <v>2456</v>
      </c>
      <c r="K148" s="8" t="s">
        <v>2215</v>
      </c>
    </row>
    <row r="149" customFormat="false" ht="24.75" hidden="false" customHeight="true" outlineLevel="0" collapsed="false">
      <c r="A149" s="12" t="s">
        <v>557</v>
      </c>
      <c r="B149" s="8" t="s">
        <v>558</v>
      </c>
      <c r="C149" s="8" t="s">
        <v>2209</v>
      </c>
      <c r="D149" s="12" t="s">
        <v>172</v>
      </c>
      <c r="E149" s="8" t="s">
        <v>2210</v>
      </c>
      <c r="F149" s="8" t="s">
        <v>2252</v>
      </c>
      <c r="G149" s="8" t="s">
        <v>2212</v>
      </c>
      <c r="H149" s="12" t="s">
        <v>194</v>
      </c>
      <c r="I149" s="8" t="s">
        <v>2213</v>
      </c>
      <c r="J149" s="8" t="s">
        <v>2457</v>
      </c>
      <c r="K149" s="8" t="s">
        <v>2215</v>
      </c>
    </row>
    <row r="150" customFormat="false" ht="24.75" hidden="false" customHeight="true" outlineLevel="0" collapsed="false">
      <c r="A150" s="12" t="s">
        <v>557</v>
      </c>
      <c r="B150" s="8" t="s">
        <v>558</v>
      </c>
      <c r="C150" s="8" t="s">
        <v>2209</v>
      </c>
      <c r="D150" s="12" t="s">
        <v>172</v>
      </c>
      <c r="E150" s="8" t="s">
        <v>2210</v>
      </c>
      <c r="F150" s="8" t="s">
        <v>2252</v>
      </c>
      <c r="G150" s="8" t="s">
        <v>2212</v>
      </c>
      <c r="H150" s="12" t="s">
        <v>194</v>
      </c>
      <c r="I150" s="8" t="s">
        <v>2213</v>
      </c>
      <c r="J150" s="8" t="s">
        <v>2458</v>
      </c>
      <c r="K150" s="8" t="s">
        <v>2215</v>
      </c>
    </row>
    <row r="151" customFormat="false" ht="24.75" hidden="false" customHeight="true" outlineLevel="0" collapsed="false">
      <c r="A151" s="12" t="s">
        <v>560</v>
      </c>
      <c r="B151" s="8" t="s">
        <v>561</v>
      </c>
      <c r="C151" s="8" t="s">
        <v>2209</v>
      </c>
      <c r="D151" s="12" t="s">
        <v>172</v>
      </c>
      <c r="E151" s="8" t="s">
        <v>2210</v>
      </c>
      <c r="F151" s="8" t="s">
        <v>2252</v>
      </c>
      <c r="G151" s="8" t="s">
        <v>2212</v>
      </c>
      <c r="H151" s="12" t="s">
        <v>194</v>
      </c>
      <c r="I151" s="8" t="s">
        <v>2213</v>
      </c>
      <c r="J151" s="8" t="s">
        <v>2459</v>
      </c>
      <c r="K151" s="8" t="s">
        <v>2215</v>
      </c>
    </row>
    <row r="152" customFormat="false" ht="24.75" hidden="false" customHeight="true" outlineLevel="0" collapsed="false">
      <c r="A152" s="12" t="s">
        <v>563</v>
      </c>
      <c r="B152" s="8" t="s">
        <v>564</v>
      </c>
      <c r="C152" s="8" t="s">
        <v>2209</v>
      </c>
      <c r="D152" s="12" t="s">
        <v>172</v>
      </c>
      <c r="E152" s="8" t="s">
        <v>2210</v>
      </c>
      <c r="F152" s="8" t="s">
        <v>2252</v>
      </c>
      <c r="G152" s="8" t="s">
        <v>2212</v>
      </c>
      <c r="H152" s="12" t="s">
        <v>194</v>
      </c>
      <c r="I152" s="8" t="s">
        <v>2213</v>
      </c>
      <c r="J152" s="8" t="s">
        <v>2460</v>
      </c>
      <c r="K152" s="8" t="s">
        <v>2215</v>
      </c>
    </row>
    <row r="153" customFormat="false" ht="24.75" hidden="false" customHeight="true" outlineLevel="0" collapsed="false">
      <c r="A153" s="12" t="s">
        <v>566</v>
      </c>
      <c r="B153" s="8" t="s">
        <v>569</v>
      </c>
      <c r="C153" s="8" t="s">
        <v>2209</v>
      </c>
      <c r="D153" s="12" t="s">
        <v>171</v>
      </c>
      <c r="E153" s="8" t="s">
        <v>2221</v>
      </c>
      <c r="F153" s="8" t="s">
        <v>2401</v>
      </c>
      <c r="G153" s="8" t="s">
        <v>2223</v>
      </c>
      <c r="H153" s="12" t="s">
        <v>194</v>
      </c>
      <c r="I153" s="8" t="s">
        <v>2213</v>
      </c>
      <c r="J153" s="8" t="s">
        <v>2402</v>
      </c>
      <c r="K153" s="8" t="s">
        <v>2215</v>
      </c>
    </row>
    <row r="154" customFormat="false" ht="37.5" hidden="false" customHeight="true" outlineLevel="0" collapsed="false">
      <c r="A154" s="12" t="s">
        <v>566</v>
      </c>
      <c r="B154" s="8" t="s">
        <v>569</v>
      </c>
      <c r="C154" s="8" t="s">
        <v>2209</v>
      </c>
      <c r="D154" s="12" t="s">
        <v>172</v>
      </c>
      <c r="E154" s="8" t="s">
        <v>2210</v>
      </c>
      <c r="F154" s="8" t="s">
        <v>2426</v>
      </c>
      <c r="G154" s="8" t="s">
        <v>2212</v>
      </c>
      <c r="H154" s="12" t="s">
        <v>194</v>
      </c>
      <c r="I154" s="8" t="s">
        <v>2213</v>
      </c>
      <c r="J154" s="8" t="s">
        <v>2461</v>
      </c>
      <c r="K154" s="8" t="s">
        <v>2215</v>
      </c>
    </row>
    <row r="155" customFormat="false" ht="24.75" hidden="false" customHeight="true" outlineLevel="0" collapsed="false">
      <c r="A155" s="12" t="s">
        <v>566</v>
      </c>
      <c r="B155" s="8" t="s">
        <v>569</v>
      </c>
      <c r="C155" s="8" t="s">
        <v>2209</v>
      </c>
      <c r="D155" s="12" t="s">
        <v>173</v>
      </c>
      <c r="E155" s="8" t="s">
        <v>2260</v>
      </c>
      <c r="F155" s="8" t="s">
        <v>2462</v>
      </c>
      <c r="G155" s="8" t="s">
        <v>2463</v>
      </c>
      <c r="H155" s="12" t="s">
        <v>232</v>
      </c>
      <c r="I155" s="8" t="s">
        <v>2213</v>
      </c>
      <c r="J155" s="8" t="s">
        <v>2464</v>
      </c>
      <c r="K155" s="8" t="s">
        <v>2215</v>
      </c>
    </row>
    <row r="156" customFormat="false" ht="24.75" hidden="false" customHeight="true" outlineLevel="0" collapsed="false">
      <c r="A156" s="12" t="s">
        <v>566</v>
      </c>
      <c r="B156" s="8" t="s">
        <v>569</v>
      </c>
      <c r="C156" s="8" t="s">
        <v>2209</v>
      </c>
      <c r="D156" s="12" t="s">
        <v>174</v>
      </c>
      <c r="E156" s="8" t="s">
        <v>2216</v>
      </c>
      <c r="F156" s="8" t="s">
        <v>2235</v>
      </c>
      <c r="G156" s="8" t="s">
        <v>2218</v>
      </c>
      <c r="H156" s="12" t="s">
        <v>195</v>
      </c>
      <c r="I156" s="8" t="s">
        <v>2213</v>
      </c>
      <c r="J156" s="8" t="s">
        <v>2465</v>
      </c>
      <c r="K156" s="8" t="s">
        <v>2215</v>
      </c>
    </row>
    <row r="157" customFormat="false" ht="24.75" hidden="false" customHeight="true" outlineLevel="0" collapsed="false">
      <c r="A157" s="12" t="s">
        <v>574</v>
      </c>
      <c r="B157" s="8" t="s">
        <v>575</v>
      </c>
      <c r="C157" s="8" t="s">
        <v>2209</v>
      </c>
      <c r="D157" s="12" t="s">
        <v>171</v>
      </c>
      <c r="E157" s="8" t="s">
        <v>2221</v>
      </c>
      <c r="F157" s="8" t="s">
        <v>2254</v>
      </c>
      <c r="G157" s="8" t="s">
        <v>2223</v>
      </c>
      <c r="H157" s="12" t="s">
        <v>194</v>
      </c>
      <c r="I157" s="8" t="s">
        <v>2213</v>
      </c>
      <c r="J157" s="8" t="s">
        <v>2255</v>
      </c>
      <c r="K157" s="8" t="s">
        <v>2215</v>
      </c>
    </row>
    <row r="158" customFormat="false" ht="37.5" hidden="false" customHeight="true" outlineLevel="0" collapsed="false">
      <c r="A158" s="12" t="s">
        <v>574</v>
      </c>
      <c r="B158" s="8" t="s">
        <v>575</v>
      </c>
      <c r="C158" s="8" t="s">
        <v>2209</v>
      </c>
      <c r="D158" s="12" t="s">
        <v>172</v>
      </c>
      <c r="E158" s="8" t="s">
        <v>2210</v>
      </c>
      <c r="F158" s="8" t="s">
        <v>2252</v>
      </c>
      <c r="G158" s="8" t="s">
        <v>2212</v>
      </c>
      <c r="H158" s="12" t="s">
        <v>194</v>
      </c>
      <c r="I158" s="8" t="s">
        <v>2213</v>
      </c>
      <c r="J158" s="8" t="s">
        <v>2466</v>
      </c>
      <c r="K158" s="8" t="s">
        <v>2215</v>
      </c>
    </row>
    <row r="159" customFormat="false" ht="37.5" hidden="false" customHeight="true" outlineLevel="0" collapsed="false">
      <c r="A159" s="12" t="s">
        <v>579</v>
      </c>
      <c r="B159" s="8" t="s">
        <v>580</v>
      </c>
      <c r="C159" s="8" t="s">
        <v>2209</v>
      </c>
      <c r="D159" s="12" t="s">
        <v>171</v>
      </c>
      <c r="E159" s="8" t="s">
        <v>2221</v>
      </c>
      <c r="F159" s="8" t="s">
        <v>2229</v>
      </c>
      <c r="G159" s="8" t="s">
        <v>2223</v>
      </c>
      <c r="H159" s="12" t="s">
        <v>194</v>
      </c>
      <c r="I159" s="8" t="s">
        <v>2213</v>
      </c>
      <c r="J159" s="8" t="s">
        <v>2230</v>
      </c>
      <c r="K159" s="8" t="s">
        <v>2215</v>
      </c>
    </row>
    <row r="160" customFormat="false" ht="37.5" hidden="false" customHeight="true" outlineLevel="0" collapsed="false">
      <c r="A160" s="12" t="s">
        <v>579</v>
      </c>
      <c r="B160" s="8" t="s">
        <v>580</v>
      </c>
      <c r="C160" s="8" t="s">
        <v>2209</v>
      </c>
      <c r="D160" s="12" t="s">
        <v>171</v>
      </c>
      <c r="E160" s="8" t="s">
        <v>2221</v>
      </c>
      <c r="F160" s="8" t="s">
        <v>2467</v>
      </c>
      <c r="G160" s="8" t="s">
        <v>2223</v>
      </c>
      <c r="H160" s="12" t="s">
        <v>194</v>
      </c>
      <c r="I160" s="8" t="s">
        <v>2213</v>
      </c>
      <c r="J160" s="8" t="s">
        <v>2468</v>
      </c>
      <c r="K160" s="8" t="s">
        <v>2215</v>
      </c>
    </row>
    <row r="161" customFormat="false" ht="24.75" hidden="false" customHeight="true" outlineLevel="0" collapsed="false">
      <c r="A161" s="12" t="s">
        <v>585</v>
      </c>
      <c r="B161" s="8" t="s">
        <v>586</v>
      </c>
      <c r="C161" s="8" t="s">
        <v>2209</v>
      </c>
      <c r="D161" s="12" t="s">
        <v>171</v>
      </c>
      <c r="E161" s="8" t="s">
        <v>2221</v>
      </c>
      <c r="F161" s="8" t="s">
        <v>2469</v>
      </c>
      <c r="G161" s="8" t="s">
        <v>2223</v>
      </c>
      <c r="H161" s="12" t="s">
        <v>194</v>
      </c>
      <c r="I161" s="8" t="s">
        <v>2213</v>
      </c>
      <c r="J161" s="8" t="s">
        <v>2470</v>
      </c>
      <c r="K161" s="8" t="s">
        <v>2215</v>
      </c>
    </row>
    <row r="162" customFormat="false" ht="24.75" hidden="false" customHeight="true" outlineLevel="0" collapsed="false">
      <c r="A162" s="12" t="s">
        <v>590</v>
      </c>
      <c r="B162" s="8" t="s">
        <v>591</v>
      </c>
      <c r="C162" s="8" t="s">
        <v>2209</v>
      </c>
      <c r="D162" s="12" t="s">
        <v>171</v>
      </c>
      <c r="E162" s="8" t="s">
        <v>2221</v>
      </c>
      <c r="F162" s="8" t="s">
        <v>2471</v>
      </c>
      <c r="G162" s="8" t="s">
        <v>2223</v>
      </c>
      <c r="H162" s="12" t="s">
        <v>194</v>
      </c>
      <c r="I162" s="8" t="s">
        <v>2213</v>
      </c>
      <c r="J162" s="8" t="s">
        <v>2472</v>
      </c>
      <c r="K162" s="8" t="s">
        <v>2215</v>
      </c>
    </row>
    <row r="163" customFormat="false" ht="24.75" hidden="false" customHeight="true" outlineLevel="0" collapsed="false">
      <c r="A163" s="12" t="s">
        <v>590</v>
      </c>
      <c r="B163" s="8" t="s">
        <v>591</v>
      </c>
      <c r="C163" s="8" t="s">
        <v>2209</v>
      </c>
      <c r="D163" s="12" t="s">
        <v>172</v>
      </c>
      <c r="E163" s="8" t="s">
        <v>2210</v>
      </c>
      <c r="F163" s="8" t="s">
        <v>2426</v>
      </c>
      <c r="G163" s="8" t="s">
        <v>2212</v>
      </c>
      <c r="H163" s="12" t="s">
        <v>194</v>
      </c>
      <c r="I163" s="8" t="s">
        <v>2213</v>
      </c>
      <c r="J163" s="8" t="s">
        <v>2427</v>
      </c>
      <c r="K163" s="8" t="s">
        <v>2215</v>
      </c>
    </row>
    <row r="164" customFormat="false" ht="24.75" hidden="false" customHeight="true" outlineLevel="0" collapsed="false">
      <c r="A164" s="12" t="s">
        <v>590</v>
      </c>
      <c r="B164" s="8" t="s">
        <v>591</v>
      </c>
      <c r="C164" s="8" t="s">
        <v>2209</v>
      </c>
      <c r="D164" s="12" t="s">
        <v>173</v>
      </c>
      <c r="E164" s="8" t="s">
        <v>2260</v>
      </c>
      <c r="F164" s="8" t="s">
        <v>2462</v>
      </c>
      <c r="G164" s="8" t="s">
        <v>2463</v>
      </c>
      <c r="H164" s="12" t="s">
        <v>232</v>
      </c>
      <c r="I164" s="8" t="s">
        <v>2213</v>
      </c>
      <c r="J164" s="8" t="s">
        <v>2473</v>
      </c>
      <c r="K164" s="8" t="s">
        <v>2215</v>
      </c>
    </row>
    <row r="165" customFormat="false" ht="24.75" hidden="false" customHeight="true" outlineLevel="0" collapsed="false">
      <c r="A165" s="12" t="s">
        <v>590</v>
      </c>
      <c r="B165" s="8" t="s">
        <v>591</v>
      </c>
      <c r="C165" s="8" t="s">
        <v>2209</v>
      </c>
      <c r="D165" s="12" t="s">
        <v>174</v>
      </c>
      <c r="E165" s="8" t="s">
        <v>2216</v>
      </c>
      <c r="F165" s="8" t="s">
        <v>2235</v>
      </c>
      <c r="G165" s="8" t="s">
        <v>2218</v>
      </c>
      <c r="H165" s="12" t="s">
        <v>195</v>
      </c>
      <c r="I165" s="8" t="s">
        <v>2213</v>
      </c>
      <c r="J165" s="8" t="s">
        <v>2474</v>
      </c>
      <c r="K165" s="8" t="s">
        <v>2215</v>
      </c>
    </row>
    <row r="166" customFormat="false" ht="49.5" hidden="false" customHeight="true" outlineLevel="0" collapsed="false">
      <c r="A166" s="12" t="s">
        <v>590</v>
      </c>
      <c r="B166" s="8" t="s">
        <v>591</v>
      </c>
      <c r="C166" s="8" t="s">
        <v>2209</v>
      </c>
      <c r="D166" s="12" t="s">
        <v>175</v>
      </c>
      <c r="E166" s="8" t="s">
        <v>2237</v>
      </c>
      <c r="F166" s="8" t="s">
        <v>2475</v>
      </c>
      <c r="G166" s="8" t="s">
        <v>2239</v>
      </c>
      <c r="H166" s="12" t="s">
        <v>194</v>
      </c>
      <c r="I166" s="8" t="s">
        <v>2213</v>
      </c>
      <c r="J166" s="8" t="s">
        <v>2476</v>
      </c>
      <c r="K166" s="8" t="s">
        <v>2215</v>
      </c>
    </row>
    <row r="167" customFormat="false" ht="24.75" hidden="false" customHeight="true" outlineLevel="0" collapsed="false">
      <c r="A167" s="12" t="s">
        <v>596</v>
      </c>
      <c r="B167" s="8" t="s">
        <v>597</v>
      </c>
      <c r="C167" s="8" t="s">
        <v>2209</v>
      </c>
      <c r="D167" s="12" t="s">
        <v>171</v>
      </c>
      <c r="E167" s="8" t="s">
        <v>2221</v>
      </c>
      <c r="F167" s="8" t="s">
        <v>2254</v>
      </c>
      <c r="G167" s="8" t="s">
        <v>2223</v>
      </c>
      <c r="H167" s="12" t="s">
        <v>194</v>
      </c>
      <c r="I167" s="8" t="s">
        <v>2213</v>
      </c>
      <c r="J167" s="8" t="s">
        <v>2255</v>
      </c>
      <c r="K167" s="8" t="s">
        <v>2215</v>
      </c>
    </row>
    <row r="168" customFormat="false" ht="24.75" hidden="false" customHeight="true" outlineLevel="0" collapsed="false">
      <c r="A168" s="12" t="s">
        <v>596</v>
      </c>
      <c r="B168" s="8" t="s">
        <v>597</v>
      </c>
      <c r="C168" s="8" t="s">
        <v>2209</v>
      </c>
      <c r="D168" s="12" t="s">
        <v>172</v>
      </c>
      <c r="E168" s="8" t="s">
        <v>2210</v>
      </c>
      <c r="F168" s="8" t="s">
        <v>2477</v>
      </c>
      <c r="G168" s="8" t="s">
        <v>2212</v>
      </c>
      <c r="H168" s="12" t="s">
        <v>194</v>
      </c>
      <c r="I168" s="8" t="s">
        <v>2213</v>
      </c>
      <c r="J168" s="8" t="s">
        <v>2478</v>
      </c>
      <c r="K168" s="8" t="s">
        <v>2215</v>
      </c>
    </row>
    <row r="169" customFormat="false" ht="24.75" hidden="false" customHeight="true" outlineLevel="0" collapsed="false">
      <c r="A169" s="12" t="s">
        <v>596</v>
      </c>
      <c r="B169" s="8" t="s">
        <v>597</v>
      </c>
      <c r="C169" s="8" t="s">
        <v>2209</v>
      </c>
      <c r="D169" s="12" t="s">
        <v>172</v>
      </c>
      <c r="E169" s="8" t="s">
        <v>2210</v>
      </c>
      <c r="F169" s="8" t="s">
        <v>2479</v>
      </c>
      <c r="G169" s="8" t="s">
        <v>2212</v>
      </c>
      <c r="H169" s="12" t="s">
        <v>194</v>
      </c>
      <c r="I169" s="8" t="s">
        <v>2213</v>
      </c>
      <c r="J169" s="8" t="s">
        <v>2480</v>
      </c>
      <c r="K169" s="8" t="s">
        <v>2215</v>
      </c>
    </row>
    <row r="170" customFormat="false" ht="24.75" hidden="false" customHeight="true" outlineLevel="0" collapsed="false">
      <c r="A170" s="12" t="s">
        <v>596</v>
      </c>
      <c r="B170" s="8" t="s">
        <v>597</v>
      </c>
      <c r="C170" s="8" t="s">
        <v>2209</v>
      </c>
      <c r="D170" s="12" t="s">
        <v>175</v>
      </c>
      <c r="E170" s="8" t="s">
        <v>2237</v>
      </c>
      <c r="F170" s="8" t="s">
        <v>2238</v>
      </c>
      <c r="G170" s="8" t="s">
        <v>2239</v>
      </c>
      <c r="H170" s="12" t="s">
        <v>194</v>
      </c>
      <c r="I170" s="8" t="s">
        <v>2213</v>
      </c>
      <c r="J170" s="8" t="s">
        <v>2447</v>
      </c>
      <c r="K170" s="8" t="s">
        <v>2215</v>
      </c>
    </row>
    <row r="171" customFormat="false" ht="37.5" hidden="false" customHeight="true" outlineLevel="0" collapsed="false">
      <c r="A171" s="12" t="s">
        <v>600</v>
      </c>
      <c r="B171" s="8" t="s">
        <v>601</v>
      </c>
      <c r="C171" s="8" t="s">
        <v>2209</v>
      </c>
      <c r="D171" s="12" t="s">
        <v>175</v>
      </c>
      <c r="E171" s="8" t="s">
        <v>2237</v>
      </c>
      <c r="F171" s="8" t="s">
        <v>2256</v>
      </c>
      <c r="G171" s="8" t="s">
        <v>2239</v>
      </c>
      <c r="H171" s="12" t="s">
        <v>194</v>
      </c>
      <c r="I171" s="8" t="s">
        <v>2213</v>
      </c>
      <c r="J171" s="8" t="s">
        <v>2257</v>
      </c>
      <c r="K171" s="8" t="s">
        <v>2215</v>
      </c>
    </row>
    <row r="172" customFormat="false" ht="24.75" hidden="false" customHeight="true" outlineLevel="0" collapsed="false">
      <c r="A172" s="12" t="s">
        <v>600</v>
      </c>
      <c r="B172" s="8" t="s">
        <v>601</v>
      </c>
      <c r="C172" s="8" t="s">
        <v>2209</v>
      </c>
      <c r="D172" s="12" t="s">
        <v>176</v>
      </c>
      <c r="E172" s="8" t="s">
        <v>2481</v>
      </c>
      <c r="F172" s="8" t="s">
        <v>2482</v>
      </c>
      <c r="G172" s="8" t="s">
        <v>2483</v>
      </c>
      <c r="H172" s="12" t="s">
        <v>194</v>
      </c>
      <c r="I172" s="8" t="s">
        <v>2213</v>
      </c>
      <c r="J172" s="8" t="s">
        <v>2484</v>
      </c>
      <c r="K172" s="8" t="s">
        <v>2485</v>
      </c>
    </row>
    <row r="173" customFormat="false" ht="24.75" hidden="false" customHeight="true" outlineLevel="0" collapsed="false">
      <c r="A173" s="12" t="s">
        <v>605</v>
      </c>
      <c r="B173" s="8" t="s">
        <v>606</v>
      </c>
      <c r="C173" s="8" t="s">
        <v>2209</v>
      </c>
      <c r="D173" s="12" t="s">
        <v>174</v>
      </c>
      <c r="E173" s="8" t="s">
        <v>2216</v>
      </c>
      <c r="F173" s="8" t="s">
        <v>2235</v>
      </c>
      <c r="G173" s="8" t="s">
        <v>2218</v>
      </c>
      <c r="H173" s="12" t="s">
        <v>195</v>
      </c>
      <c r="I173" s="8" t="s">
        <v>2213</v>
      </c>
      <c r="J173" s="8" t="s">
        <v>2486</v>
      </c>
      <c r="K173" s="8" t="s">
        <v>2215</v>
      </c>
    </row>
    <row r="174" customFormat="false" ht="24.75" hidden="false" customHeight="true" outlineLevel="0" collapsed="false">
      <c r="A174" s="12" t="s">
        <v>605</v>
      </c>
      <c r="B174" s="8" t="s">
        <v>606</v>
      </c>
      <c r="C174" s="8" t="s">
        <v>2209</v>
      </c>
      <c r="D174" s="12" t="s">
        <v>175</v>
      </c>
      <c r="E174" s="8" t="s">
        <v>2237</v>
      </c>
      <c r="F174" s="8" t="s">
        <v>2238</v>
      </c>
      <c r="G174" s="8" t="s">
        <v>2239</v>
      </c>
      <c r="H174" s="12" t="s">
        <v>194</v>
      </c>
      <c r="I174" s="8" t="s">
        <v>2213</v>
      </c>
      <c r="J174" s="8" t="s">
        <v>2487</v>
      </c>
      <c r="K174" s="8" t="s">
        <v>2215</v>
      </c>
    </row>
    <row r="175" customFormat="false" ht="24.75" hidden="false" customHeight="true" outlineLevel="0" collapsed="false">
      <c r="A175" s="12" t="s">
        <v>605</v>
      </c>
      <c r="B175" s="8" t="s">
        <v>606</v>
      </c>
      <c r="C175" s="8" t="s">
        <v>2209</v>
      </c>
      <c r="D175" s="12" t="s">
        <v>176</v>
      </c>
      <c r="E175" s="8" t="s">
        <v>2481</v>
      </c>
      <c r="F175" s="8" t="s">
        <v>2488</v>
      </c>
      <c r="G175" s="8" t="s">
        <v>2483</v>
      </c>
      <c r="H175" s="12" t="s">
        <v>194</v>
      </c>
      <c r="I175" s="8" t="s">
        <v>2213</v>
      </c>
      <c r="J175" s="8" t="s">
        <v>2489</v>
      </c>
      <c r="K175" s="8" t="s">
        <v>2485</v>
      </c>
    </row>
    <row r="176" customFormat="false" ht="24.75" hidden="false" customHeight="true" outlineLevel="0" collapsed="false">
      <c r="A176" s="12" t="s">
        <v>611</v>
      </c>
      <c r="B176" s="8" t="s">
        <v>612</v>
      </c>
      <c r="C176" s="8" t="s">
        <v>2209</v>
      </c>
      <c r="D176" s="12" t="s">
        <v>171</v>
      </c>
      <c r="E176" s="8" t="s">
        <v>2221</v>
      </c>
      <c r="F176" s="8" t="s">
        <v>2490</v>
      </c>
      <c r="G176" s="8" t="s">
        <v>2223</v>
      </c>
      <c r="H176" s="12" t="s">
        <v>194</v>
      </c>
      <c r="I176" s="8" t="s">
        <v>2213</v>
      </c>
      <c r="J176" s="8" t="s">
        <v>2491</v>
      </c>
      <c r="K176" s="8" t="s">
        <v>2215</v>
      </c>
    </row>
    <row r="177" customFormat="false" ht="24.75" hidden="false" customHeight="true" outlineLevel="0" collapsed="false">
      <c r="A177" s="12" t="s">
        <v>611</v>
      </c>
      <c r="B177" s="8" t="s">
        <v>612</v>
      </c>
      <c r="C177" s="8" t="s">
        <v>2209</v>
      </c>
      <c r="D177" s="12" t="s">
        <v>171</v>
      </c>
      <c r="E177" s="8" t="s">
        <v>2221</v>
      </c>
      <c r="F177" s="8" t="s">
        <v>2492</v>
      </c>
      <c r="G177" s="8" t="s">
        <v>2223</v>
      </c>
      <c r="H177" s="12" t="s">
        <v>194</v>
      </c>
      <c r="I177" s="8" t="s">
        <v>2213</v>
      </c>
      <c r="J177" s="8" t="s">
        <v>2493</v>
      </c>
      <c r="K177" s="8" t="s">
        <v>2215</v>
      </c>
    </row>
    <row r="178" customFormat="false" ht="24.75" hidden="false" customHeight="true" outlineLevel="0" collapsed="false">
      <c r="A178" s="12" t="s">
        <v>617</v>
      </c>
      <c r="B178" s="8" t="s">
        <v>618</v>
      </c>
      <c r="C178" s="8" t="s">
        <v>2209</v>
      </c>
      <c r="D178" s="12" t="s">
        <v>176</v>
      </c>
      <c r="E178" s="8" t="s">
        <v>2481</v>
      </c>
      <c r="F178" s="8" t="s">
        <v>2494</v>
      </c>
      <c r="G178" s="8" t="s">
        <v>2483</v>
      </c>
      <c r="H178" s="12" t="s">
        <v>194</v>
      </c>
      <c r="I178" s="8" t="s">
        <v>2213</v>
      </c>
      <c r="J178" s="8" t="s">
        <v>2495</v>
      </c>
      <c r="K178" s="8" t="s">
        <v>2485</v>
      </c>
    </row>
    <row r="179" customFormat="false" ht="24.75" hidden="false" customHeight="true" outlineLevel="0" collapsed="false">
      <c r="A179" s="12" t="s">
        <v>617</v>
      </c>
      <c r="B179" s="8" t="s">
        <v>618</v>
      </c>
      <c r="C179" s="8" t="s">
        <v>2209</v>
      </c>
      <c r="D179" s="12" t="s">
        <v>176</v>
      </c>
      <c r="E179" s="8" t="s">
        <v>2481</v>
      </c>
      <c r="F179" s="8" t="s">
        <v>2496</v>
      </c>
      <c r="G179" s="8" t="s">
        <v>2483</v>
      </c>
      <c r="H179" s="12" t="s">
        <v>194</v>
      </c>
      <c r="I179" s="8" t="s">
        <v>2213</v>
      </c>
      <c r="J179" s="8" t="s">
        <v>2497</v>
      </c>
      <c r="K179" s="8" t="s">
        <v>2485</v>
      </c>
    </row>
    <row r="180" customFormat="false" ht="24.75" hidden="false" customHeight="true" outlineLevel="0" collapsed="false">
      <c r="A180" s="12" t="s">
        <v>622</v>
      </c>
      <c r="B180" s="8" t="s">
        <v>623</v>
      </c>
      <c r="C180" s="8" t="s">
        <v>2209</v>
      </c>
      <c r="D180" s="12" t="s">
        <v>176</v>
      </c>
      <c r="E180" s="8" t="s">
        <v>2481</v>
      </c>
      <c r="F180" s="8" t="s">
        <v>2498</v>
      </c>
      <c r="G180" s="8" t="s">
        <v>2483</v>
      </c>
      <c r="H180" s="12" t="s">
        <v>194</v>
      </c>
      <c r="I180" s="8" t="s">
        <v>2213</v>
      </c>
      <c r="J180" s="8" t="s">
        <v>2499</v>
      </c>
      <c r="K180" s="8" t="s">
        <v>2485</v>
      </c>
    </row>
    <row r="181" customFormat="false" ht="24.75" hidden="false" customHeight="true" outlineLevel="0" collapsed="false">
      <c r="A181" s="12" t="s">
        <v>627</v>
      </c>
      <c r="B181" s="8" t="s">
        <v>629</v>
      </c>
      <c r="C181" s="8" t="s">
        <v>2209</v>
      </c>
      <c r="D181" s="12" t="s">
        <v>171</v>
      </c>
      <c r="E181" s="8" t="s">
        <v>2221</v>
      </c>
      <c r="F181" s="8" t="s">
        <v>2500</v>
      </c>
      <c r="G181" s="8" t="s">
        <v>2326</v>
      </c>
      <c r="H181" s="12" t="s">
        <v>195</v>
      </c>
      <c r="I181" s="8" t="s">
        <v>2213</v>
      </c>
      <c r="J181" s="8" t="s">
        <v>2501</v>
      </c>
      <c r="K181" s="8" t="s">
        <v>2215</v>
      </c>
    </row>
    <row r="182" customFormat="false" ht="24.75" hidden="false" customHeight="true" outlineLevel="0" collapsed="false">
      <c r="A182" s="12" t="s">
        <v>627</v>
      </c>
      <c r="B182" s="8" t="s">
        <v>629</v>
      </c>
      <c r="C182" s="8" t="s">
        <v>2209</v>
      </c>
      <c r="D182" s="12" t="s">
        <v>171</v>
      </c>
      <c r="E182" s="8" t="s">
        <v>2221</v>
      </c>
      <c r="F182" s="8" t="s">
        <v>2243</v>
      </c>
      <c r="G182" s="8" t="s">
        <v>2244</v>
      </c>
      <c r="H182" s="12" t="s">
        <v>232</v>
      </c>
      <c r="I182" s="8" t="s">
        <v>2213</v>
      </c>
      <c r="J182" s="8" t="s">
        <v>2245</v>
      </c>
      <c r="K182" s="8" t="s">
        <v>2215</v>
      </c>
    </row>
    <row r="183" customFormat="false" ht="24.75" hidden="false" customHeight="true" outlineLevel="0" collapsed="false">
      <c r="A183" s="12" t="s">
        <v>634</v>
      </c>
      <c r="B183" s="8" t="s">
        <v>635</v>
      </c>
      <c r="C183" s="8" t="s">
        <v>2209</v>
      </c>
      <c r="D183" s="12" t="s">
        <v>171</v>
      </c>
      <c r="E183" s="8" t="s">
        <v>2221</v>
      </c>
      <c r="F183" s="8" t="s">
        <v>2502</v>
      </c>
      <c r="G183" s="8" t="s">
        <v>2223</v>
      </c>
      <c r="H183" s="12" t="s">
        <v>194</v>
      </c>
      <c r="I183" s="8" t="s">
        <v>2213</v>
      </c>
      <c r="J183" s="8" t="s">
        <v>2503</v>
      </c>
      <c r="K183" s="8" t="s">
        <v>2215</v>
      </c>
    </row>
    <row r="184" customFormat="false" ht="24.75" hidden="false" customHeight="true" outlineLevel="0" collapsed="false">
      <c r="A184" s="12" t="s">
        <v>639</v>
      </c>
      <c r="B184" s="8" t="s">
        <v>640</v>
      </c>
      <c r="C184" s="8" t="s">
        <v>2209</v>
      </c>
      <c r="D184" s="12" t="s">
        <v>171</v>
      </c>
      <c r="E184" s="8" t="s">
        <v>2221</v>
      </c>
      <c r="F184" s="8" t="s">
        <v>2504</v>
      </c>
      <c r="G184" s="8" t="s">
        <v>2223</v>
      </c>
      <c r="H184" s="12" t="s">
        <v>194</v>
      </c>
      <c r="I184" s="8" t="s">
        <v>2213</v>
      </c>
      <c r="J184" s="8" t="s">
        <v>2505</v>
      </c>
      <c r="K184" s="8" t="s">
        <v>2215</v>
      </c>
    </row>
    <row r="185" customFormat="false" ht="24.75" hidden="false" customHeight="true" outlineLevel="0" collapsed="false">
      <c r="A185" s="12" t="s">
        <v>639</v>
      </c>
      <c r="B185" s="8" t="s">
        <v>640</v>
      </c>
      <c r="C185" s="8" t="s">
        <v>2209</v>
      </c>
      <c r="D185" s="12" t="s">
        <v>171</v>
      </c>
      <c r="E185" s="8" t="s">
        <v>2221</v>
      </c>
      <c r="F185" s="8" t="s">
        <v>2506</v>
      </c>
      <c r="G185" s="8" t="s">
        <v>2223</v>
      </c>
      <c r="H185" s="12" t="s">
        <v>194</v>
      </c>
      <c r="I185" s="8" t="s">
        <v>2213</v>
      </c>
      <c r="J185" s="8" t="s">
        <v>2507</v>
      </c>
      <c r="K185" s="8" t="s">
        <v>2215</v>
      </c>
    </row>
    <row r="186" customFormat="false" ht="24.75" hidden="false" customHeight="true" outlineLevel="0" collapsed="false">
      <c r="A186" s="12" t="s">
        <v>639</v>
      </c>
      <c r="B186" s="8" t="s">
        <v>640</v>
      </c>
      <c r="C186" s="8" t="s">
        <v>2209</v>
      </c>
      <c r="D186" s="12" t="s">
        <v>173</v>
      </c>
      <c r="E186" s="8" t="s">
        <v>2260</v>
      </c>
      <c r="F186" s="8" t="s">
        <v>2508</v>
      </c>
      <c r="G186" s="8" t="s">
        <v>2262</v>
      </c>
      <c r="H186" s="12" t="s">
        <v>194</v>
      </c>
      <c r="I186" s="8" t="s">
        <v>2213</v>
      </c>
      <c r="J186" s="8" t="s">
        <v>2509</v>
      </c>
      <c r="K186" s="8" t="s">
        <v>2215</v>
      </c>
    </row>
    <row r="187" customFormat="false" ht="37.5" hidden="false" customHeight="true" outlineLevel="0" collapsed="false">
      <c r="A187" s="12" t="s">
        <v>644</v>
      </c>
      <c r="B187" s="8" t="s">
        <v>647</v>
      </c>
      <c r="C187" s="8" t="s">
        <v>2209</v>
      </c>
      <c r="D187" s="12" t="s">
        <v>171</v>
      </c>
      <c r="E187" s="8" t="s">
        <v>2221</v>
      </c>
      <c r="F187" s="8" t="s">
        <v>2229</v>
      </c>
      <c r="G187" s="8" t="s">
        <v>2223</v>
      </c>
      <c r="H187" s="12" t="s">
        <v>194</v>
      </c>
      <c r="I187" s="8" t="s">
        <v>2213</v>
      </c>
      <c r="J187" s="8" t="s">
        <v>2230</v>
      </c>
      <c r="K187" s="8" t="s">
        <v>2215</v>
      </c>
    </row>
    <row r="188" customFormat="false" ht="24.75" hidden="false" customHeight="true" outlineLevel="0" collapsed="false">
      <c r="A188" s="12" t="s">
        <v>644</v>
      </c>
      <c r="B188" s="8" t="s">
        <v>647</v>
      </c>
      <c r="C188" s="8" t="s">
        <v>2209</v>
      </c>
      <c r="D188" s="12" t="s">
        <v>172</v>
      </c>
      <c r="E188" s="8" t="s">
        <v>2210</v>
      </c>
      <c r="F188" s="8" t="s">
        <v>2290</v>
      </c>
      <c r="G188" s="8" t="s">
        <v>2212</v>
      </c>
      <c r="H188" s="12" t="s">
        <v>194</v>
      </c>
      <c r="I188" s="8" t="s">
        <v>2213</v>
      </c>
      <c r="J188" s="8" t="s">
        <v>2510</v>
      </c>
      <c r="K188" s="8" t="s">
        <v>2215</v>
      </c>
    </row>
    <row r="189" customFormat="false" ht="24.75" hidden="false" customHeight="true" outlineLevel="0" collapsed="false">
      <c r="A189" s="12" t="s">
        <v>644</v>
      </c>
      <c r="B189" s="8" t="s">
        <v>647</v>
      </c>
      <c r="C189" s="8" t="s">
        <v>2209</v>
      </c>
      <c r="D189" s="12" t="s">
        <v>172</v>
      </c>
      <c r="E189" s="8" t="s">
        <v>2210</v>
      </c>
      <c r="F189" s="8" t="s">
        <v>2290</v>
      </c>
      <c r="G189" s="8" t="s">
        <v>2212</v>
      </c>
      <c r="H189" s="12" t="s">
        <v>194</v>
      </c>
      <c r="I189" s="8" t="s">
        <v>2213</v>
      </c>
      <c r="J189" s="8" t="s">
        <v>2511</v>
      </c>
      <c r="K189" s="8" t="s">
        <v>2215</v>
      </c>
    </row>
    <row r="190" customFormat="false" ht="24.75" hidden="false" customHeight="true" outlineLevel="0" collapsed="false">
      <c r="A190" s="12" t="s">
        <v>644</v>
      </c>
      <c r="B190" s="8" t="s">
        <v>647</v>
      </c>
      <c r="C190" s="8" t="s">
        <v>2209</v>
      </c>
      <c r="D190" s="12" t="s">
        <v>174</v>
      </c>
      <c r="E190" s="8" t="s">
        <v>2216</v>
      </c>
      <c r="F190" s="8" t="s">
        <v>2235</v>
      </c>
      <c r="G190" s="8" t="s">
        <v>2218</v>
      </c>
      <c r="H190" s="12" t="s">
        <v>195</v>
      </c>
      <c r="I190" s="8" t="s">
        <v>2213</v>
      </c>
      <c r="J190" s="8" t="s">
        <v>2512</v>
      </c>
      <c r="K190" s="8" t="s">
        <v>2215</v>
      </c>
    </row>
    <row r="191" customFormat="false" ht="24.75" hidden="false" customHeight="true" outlineLevel="0" collapsed="false">
      <c r="A191" s="12" t="s">
        <v>644</v>
      </c>
      <c r="B191" s="8" t="s">
        <v>647</v>
      </c>
      <c r="C191" s="8" t="s">
        <v>2209</v>
      </c>
      <c r="D191" s="12" t="s">
        <v>175</v>
      </c>
      <c r="E191" s="8" t="s">
        <v>2237</v>
      </c>
      <c r="F191" s="8" t="s">
        <v>2238</v>
      </c>
      <c r="G191" s="8" t="s">
        <v>2239</v>
      </c>
      <c r="H191" s="12" t="s">
        <v>194</v>
      </c>
      <c r="I191" s="8" t="s">
        <v>2213</v>
      </c>
      <c r="J191" s="8" t="s">
        <v>2513</v>
      </c>
      <c r="K191" s="8" t="s">
        <v>2215</v>
      </c>
    </row>
    <row r="192" customFormat="false" ht="24.75" hidden="false" customHeight="true" outlineLevel="0" collapsed="false">
      <c r="A192" s="12" t="s">
        <v>652</v>
      </c>
      <c r="B192" s="8" t="s">
        <v>653</v>
      </c>
      <c r="C192" s="8" t="s">
        <v>2209</v>
      </c>
      <c r="D192" s="12" t="s">
        <v>172</v>
      </c>
      <c r="E192" s="8" t="s">
        <v>2210</v>
      </c>
      <c r="F192" s="8" t="s">
        <v>2290</v>
      </c>
      <c r="G192" s="8" t="s">
        <v>2212</v>
      </c>
      <c r="H192" s="12" t="s">
        <v>194</v>
      </c>
      <c r="I192" s="8" t="s">
        <v>2213</v>
      </c>
      <c r="J192" s="8" t="s">
        <v>2514</v>
      </c>
      <c r="K192" s="8" t="s">
        <v>2215</v>
      </c>
    </row>
    <row r="193" customFormat="false" ht="24.75" hidden="false" customHeight="true" outlineLevel="0" collapsed="false">
      <c r="A193" s="12" t="s">
        <v>652</v>
      </c>
      <c r="B193" s="8" t="s">
        <v>653</v>
      </c>
      <c r="C193" s="8" t="s">
        <v>2209</v>
      </c>
      <c r="D193" s="12" t="s">
        <v>172</v>
      </c>
      <c r="E193" s="8" t="s">
        <v>2210</v>
      </c>
      <c r="F193" s="8" t="s">
        <v>2290</v>
      </c>
      <c r="G193" s="8" t="s">
        <v>2212</v>
      </c>
      <c r="H193" s="12" t="s">
        <v>194</v>
      </c>
      <c r="I193" s="8" t="s">
        <v>2213</v>
      </c>
      <c r="J193" s="8" t="s">
        <v>2515</v>
      </c>
      <c r="K193" s="8" t="s">
        <v>2215</v>
      </c>
    </row>
    <row r="194" customFormat="false" ht="37.5" hidden="false" customHeight="true" outlineLevel="0" collapsed="false">
      <c r="A194" s="12" t="s">
        <v>652</v>
      </c>
      <c r="B194" s="8" t="s">
        <v>653</v>
      </c>
      <c r="C194" s="8" t="s">
        <v>2209</v>
      </c>
      <c r="D194" s="12" t="s">
        <v>172</v>
      </c>
      <c r="E194" s="8" t="s">
        <v>2210</v>
      </c>
      <c r="F194" s="8" t="s">
        <v>2290</v>
      </c>
      <c r="G194" s="8" t="s">
        <v>2212</v>
      </c>
      <c r="H194" s="12" t="s">
        <v>194</v>
      </c>
      <c r="I194" s="8" t="s">
        <v>2213</v>
      </c>
      <c r="J194" s="8" t="s">
        <v>2516</v>
      </c>
      <c r="K194" s="8" t="s">
        <v>2215</v>
      </c>
    </row>
    <row r="195" customFormat="false" ht="24.75" hidden="false" customHeight="true" outlineLevel="0" collapsed="false">
      <c r="A195" s="12" t="s">
        <v>657</v>
      </c>
      <c r="B195" s="8" t="s">
        <v>659</v>
      </c>
      <c r="C195" s="8" t="s">
        <v>2209</v>
      </c>
      <c r="D195" s="12" t="s">
        <v>171</v>
      </c>
      <c r="E195" s="8" t="s">
        <v>2221</v>
      </c>
      <c r="F195" s="8" t="s">
        <v>2517</v>
      </c>
      <c r="G195" s="8" t="s">
        <v>2223</v>
      </c>
      <c r="H195" s="12" t="s">
        <v>194</v>
      </c>
      <c r="I195" s="8" t="s">
        <v>2213</v>
      </c>
      <c r="J195" s="8" t="s">
        <v>2518</v>
      </c>
      <c r="K195" s="8" t="s">
        <v>2215</v>
      </c>
    </row>
    <row r="196" customFormat="false" ht="24.75" hidden="false" customHeight="true" outlineLevel="0" collapsed="false">
      <c r="A196" s="12" t="s">
        <v>657</v>
      </c>
      <c r="B196" s="8" t="s">
        <v>659</v>
      </c>
      <c r="C196" s="8" t="s">
        <v>2209</v>
      </c>
      <c r="D196" s="12" t="s">
        <v>172</v>
      </c>
      <c r="E196" s="8" t="s">
        <v>2210</v>
      </c>
      <c r="F196" s="8" t="s">
        <v>2290</v>
      </c>
      <c r="G196" s="8" t="s">
        <v>2212</v>
      </c>
      <c r="H196" s="12" t="s">
        <v>194</v>
      </c>
      <c r="I196" s="8" t="s">
        <v>2213</v>
      </c>
      <c r="J196" s="8" t="s">
        <v>2519</v>
      </c>
      <c r="K196" s="8" t="s">
        <v>2215</v>
      </c>
    </row>
    <row r="197" customFormat="false" ht="24.75" hidden="false" customHeight="true" outlineLevel="0" collapsed="false">
      <c r="A197" s="12" t="s">
        <v>657</v>
      </c>
      <c r="B197" s="8" t="s">
        <v>659</v>
      </c>
      <c r="C197" s="8" t="s">
        <v>2209</v>
      </c>
      <c r="D197" s="12" t="s">
        <v>174</v>
      </c>
      <c r="E197" s="8" t="s">
        <v>2216</v>
      </c>
      <c r="F197" s="8" t="s">
        <v>2235</v>
      </c>
      <c r="G197" s="8" t="s">
        <v>2218</v>
      </c>
      <c r="H197" s="12" t="s">
        <v>195</v>
      </c>
      <c r="I197" s="8" t="s">
        <v>2213</v>
      </c>
      <c r="J197" s="8" t="s">
        <v>2520</v>
      </c>
      <c r="K197" s="8" t="s">
        <v>2215</v>
      </c>
    </row>
    <row r="198" customFormat="false" ht="37.5" hidden="false" customHeight="true" outlineLevel="0" collapsed="false">
      <c r="A198" s="12" t="s">
        <v>663</v>
      </c>
      <c r="B198" s="8" t="s">
        <v>664</v>
      </c>
      <c r="C198" s="8" t="s">
        <v>2209</v>
      </c>
      <c r="D198" s="12" t="s">
        <v>172</v>
      </c>
      <c r="E198" s="8" t="s">
        <v>2210</v>
      </c>
      <c r="F198" s="8" t="s">
        <v>2290</v>
      </c>
      <c r="G198" s="8" t="s">
        <v>2212</v>
      </c>
      <c r="H198" s="12" t="s">
        <v>194</v>
      </c>
      <c r="I198" s="8" t="s">
        <v>2213</v>
      </c>
      <c r="J198" s="8" t="s">
        <v>2521</v>
      </c>
      <c r="K198" s="8" t="s">
        <v>2215</v>
      </c>
    </row>
    <row r="199" customFormat="false" ht="37.5" hidden="false" customHeight="true" outlineLevel="0" collapsed="false">
      <c r="A199" s="12" t="s">
        <v>668</v>
      </c>
      <c r="B199" s="8" t="s">
        <v>669</v>
      </c>
      <c r="C199" s="8" t="s">
        <v>2209</v>
      </c>
      <c r="D199" s="12" t="s">
        <v>172</v>
      </c>
      <c r="E199" s="8" t="s">
        <v>2210</v>
      </c>
      <c r="F199" s="8" t="s">
        <v>2290</v>
      </c>
      <c r="G199" s="8" t="s">
        <v>2212</v>
      </c>
      <c r="H199" s="12" t="s">
        <v>194</v>
      </c>
      <c r="I199" s="8" t="s">
        <v>2213</v>
      </c>
      <c r="J199" s="8" t="s">
        <v>2522</v>
      </c>
      <c r="K199" s="8" t="s">
        <v>2215</v>
      </c>
    </row>
    <row r="200" customFormat="false" ht="14.25" hidden="false" customHeight="false" outlineLevel="0" collapsed="false">
      <c r="A200" s="12" t="s">
        <v>671</v>
      </c>
      <c r="B200" s="8" t="s">
        <v>672</v>
      </c>
      <c r="C200" s="8" t="s">
        <v>2209</v>
      </c>
      <c r="D200" s="12" t="s">
        <v>172</v>
      </c>
      <c r="E200" s="8" t="s">
        <v>2210</v>
      </c>
      <c r="F200" s="8" t="s">
        <v>2290</v>
      </c>
      <c r="G200" s="8" t="s">
        <v>2212</v>
      </c>
      <c r="H200" s="12" t="s">
        <v>194</v>
      </c>
      <c r="I200" s="8" t="s">
        <v>2213</v>
      </c>
      <c r="J200" s="8" t="s">
        <v>2523</v>
      </c>
      <c r="K200" s="8" t="s">
        <v>2215</v>
      </c>
    </row>
    <row r="201" customFormat="false" ht="24.75" hidden="false" customHeight="true" outlineLevel="0" collapsed="false">
      <c r="A201" s="12" t="s">
        <v>674</v>
      </c>
      <c r="B201" s="8" t="s">
        <v>675</v>
      </c>
      <c r="C201" s="8" t="s">
        <v>2209</v>
      </c>
      <c r="D201" s="12" t="s">
        <v>172</v>
      </c>
      <c r="E201" s="8" t="s">
        <v>2210</v>
      </c>
      <c r="F201" s="8" t="s">
        <v>2290</v>
      </c>
      <c r="G201" s="8" t="s">
        <v>2212</v>
      </c>
      <c r="H201" s="12" t="s">
        <v>194</v>
      </c>
      <c r="I201" s="8" t="s">
        <v>2213</v>
      </c>
      <c r="J201" s="8" t="s">
        <v>2524</v>
      </c>
      <c r="K201" s="8" t="s">
        <v>2215</v>
      </c>
    </row>
    <row r="202" customFormat="false" ht="37.5" hidden="false" customHeight="true" outlineLevel="0" collapsed="false">
      <c r="A202" s="12" t="s">
        <v>677</v>
      </c>
      <c r="B202" s="8" t="s">
        <v>679</v>
      </c>
      <c r="C202" s="8" t="s">
        <v>2209</v>
      </c>
      <c r="D202" s="12" t="s">
        <v>172</v>
      </c>
      <c r="E202" s="8" t="s">
        <v>2210</v>
      </c>
      <c r="F202" s="8" t="s">
        <v>2290</v>
      </c>
      <c r="G202" s="8" t="s">
        <v>2212</v>
      </c>
      <c r="H202" s="12" t="s">
        <v>194</v>
      </c>
      <c r="I202" s="8" t="s">
        <v>2213</v>
      </c>
      <c r="J202" s="8" t="s">
        <v>2525</v>
      </c>
      <c r="K202" s="8" t="s">
        <v>2215</v>
      </c>
    </row>
    <row r="203" customFormat="false" ht="37.5" hidden="false" customHeight="true" outlineLevel="0" collapsed="false">
      <c r="A203" s="12" t="s">
        <v>677</v>
      </c>
      <c r="B203" s="8" t="s">
        <v>679</v>
      </c>
      <c r="C203" s="8" t="s">
        <v>2209</v>
      </c>
      <c r="D203" s="12" t="s">
        <v>172</v>
      </c>
      <c r="E203" s="8" t="s">
        <v>2210</v>
      </c>
      <c r="F203" s="8" t="s">
        <v>2290</v>
      </c>
      <c r="G203" s="8" t="s">
        <v>2212</v>
      </c>
      <c r="H203" s="12" t="s">
        <v>194</v>
      </c>
      <c r="I203" s="8" t="s">
        <v>2213</v>
      </c>
      <c r="J203" s="8" t="s">
        <v>2526</v>
      </c>
      <c r="K203" s="8" t="s">
        <v>2215</v>
      </c>
    </row>
    <row r="204" customFormat="false" ht="24.75" hidden="false" customHeight="true" outlineLevel="0" collapsed="false">
      <c r="A204" s="12" t="s">
        <v>682</v>
      </c>
      <c r="B204" s="8" t="s">
        <v>684</v>
      </c>
      <c r="C204" s="8" t="s">
        <v>2209</v>
      </c>
      <c r="D204" s="12" t="s">
        <v>172</v>
      </c>
      <c r="E204" s="8" t="s">
        <v>2210</v>
      </c>
      <c r="F204" s="8" t="s">
        <v>2290</v>
      </c>
      <c r="G204" s="8" t="s">
        <v>2212</v>
      </c>
      <c r="H204" s="12" t="s">
        <v>194</v>
      </c>
      <c r="I204" s="8" t="s">
        <v>2213</v>
      </c>
      <c r="J204" s="8" t="s">
        <v>2527</v>
      </c>
      <c r="K204" s="8" t="s">
        <v>2215</v>
      </c>
    </row>
    <row r="205" customFormat="false" ht="24.75" hidden="false" customHeight="true" outlineLevel="0" collapsed="false">
      <c r="A205" s="12" t="s">
        <v>682</v>
      </c>
      <c r="B205" s="8" t="s">
        <v>684</v>
      </c>
      <c r="C205" s="8" t="s">
        <v>2209</v>
      </c>
      <c r="D205" s="12" t="s">
        <v>172</v>
      </c>
      <c r="E205" s="8" t="s">
        <v>2210</v>
      </c>
      <c r="F205" s="8" t="s">
        <v>2290</v>
      </c>
      <c r="G205" s="8" t="s">
        <v>2212</v>
      </c>
      <c r="H205" s="12" t="s">
        <v>194</v>
      </c>
      <c r="I205" s="8" t="s">
        <v>2213</v>
      </c>
      <c r="J205" s="8" t="s">
        <v>2528</v>
      </c>
      <c r="K205" s="8" t="s">
        <v>2215</v>
      </c>
    </row>
    <row r="206" customFormat="false" ht="24.75" hidden="false" customHeight="true" outlineLevel="0" collapsed="false">
      <c r="A206" s="12" t="s">
        <v>682</v>
      </c>
      <c r="B206" s="8" t="s">
        <v>684</v>
      </c>
      <c r="C206" s="8" t="s">
        <v>2209</v>
      </c>
      <c r="D206" s="12" t="s">
        <v>172</v>
      </c>
      <c r="E206" s="8" t="s">
        <v>2210</v>
      </c>
      <c r="F206" s="8" t="s">
        <v>2290</v>
      </c>
      <c r="G206" s="8" t="s">
        <v>2212</v>
      </c>
      <c r="H206" s="12" t="s">
        <v>194</v>
      </c>
      <c r="I206" s="8" t="s">
        <v>2213</v>
      </c>
      <c r="J206" s="8" t="s">
        <v>2529</v>
      </c>
      <c r="K206" s="8" t="s">
        <v>2215</v>
      </c>
    </row>
    <row r="207" customFormat="false" ht="24.75" hidden="false" customHeight="true" outlineLevel="0" collapsed="false">
      <c r="A207" s="12" t="s">
        <v>686</v>
      </c>
      <c r="B207" s="8" t="s">
        <v>687</v>
      </c>
      <c r="C207" s="8" t="s">
        <v>2209</v>
      </c>
      <c r="D207" s="12" t="s">
        <v>172</v>
      </c>
      <c r="E207" s="8" t="s">
        <v>2210</v>
      </c>
      <c r="F207" s="8" t="s">
        <v>2290</v>
      </c>
      <c r="G207" s="8" t="s">
        <v>2212</v>
      </c>
      <c r="H207" s="12" t="s">
        <v>194</v>
      </c>
      <c r="I207" s="8" t="s">
        <v>2213</v>
      </c>
      <c r="J207" s="8" t="s">
        <v>2530</v>
      </c>
      <c r="K207" s="8" t="s">
        <v>2215</v>
      </c>
    </row>
    <row r="208" customFormat="false" ht="24.75" hidden="false" customHeight="true" outlineLevel="0" collapsed="false">
      <c r="A208" s="12" t="s">
        <v>686</v>
      </c>
      <c r="B208" s="8" t="s">
        <v>687</v>
      </c>
      <c r="C208" s="8" t="s">
        <v>2209</v>
      </c>
      <c r="D208" s="12" t="s">
        <v>172</v>
      </c>
      <c r="E208" s="8" t="s">
        <v>2210</v>
      </c>
      <c r="F208" s="8" t="s">
        <v>2290</v>
      </c>
      <c r="G208" s="8" t="s">
        <v>2212</v>
      </c>
      <c r="H208" s="12" t="s">
        <v>194</v>
      </c>
      <c r="I208" s="8" t="s">
        <v>2213</v>
      </c>
      <c r="J208" s="8" t="s">
        <v>2531</v>
      </c>
      <c r="K208" s="8" t="s">
        <v>2215</v>
      </c>
    </row>
    <row r="209" customFormat="false" ht="24.75" hidden="false" customHeight="true" outlineLevel="0" collapsed="false">
      <c r="A209" s="12" t="s">
        <v>686</v>
      </c>
      <c r="B209" s="8" t="s">
        <v>687</v>
      </c>
      <c r="C209" s="8" t="s">
        <v>2209</v>
      </c>
      <c r="D209" s="12" t="s">
        <v>172</v>
      </c>
      <c r="E209" s="8" t="s">
        <v>2210</v>
      </c>
      <c r="F209" s="8" t="s">
        <v>2290</v>
      </c>
      <c r="G209" s="8" t="s">
        <v>2212</v>
      </c>
      <c r="H209" s="12" t="s">
        <v>194</v>
      </c>
      <c r="I209" s="8" t="s">
        <v>2213</v>
      </c>
      <c r="J209" s="8" t="s">
        <v>2532</v>
      </c>
      <c r="K209" s="8" t="s">
        <v>2215</v>
      </c>
    </row>
    <row r="210" customFormat="false" ht="24.75" hidden="false" customHeight="true" outlineLevel="0" collapsed="false">
      <c r="A210" s="12" t="s">
        <v>686</v>
      </c>
      <c r="B210" s="8" t="s">
        <v>687</v>
      </c>
      <c r="C210" s="8" t="s">
        <v>2209</v>
      </c>
      <c r="D210" s="12" t="s">
        <v>175</v>
      </c>
      <c r="E210" s="8" t="s">
        <v>2237</v>
      </c>
      <c r="F210" s="8" t="s">
        <v>2238</v>
      </c>
      <c r="G210" s="8" t="s">
        <v>2239</v>
      </c>
      <c r="H210" s="12" t="s">
        <v>194</v>
      </c>
      <c r="I210" s="8" t="s">
        <v>2213</v>
      </c>
      <c r="J210" s="8" t="s">
        <v>2513</v>
      </c>
      <c r="K210" s="8" t="s">
        <v>2215</v>
      </c>
    </row>
    <row r="211" customFormat="false" ht="24.75" hidden="false" customHeight="true" outlineLevel="0" collapsed="false">
      <c r="A211" s="12" t="s">
        <v>692</v>
      </c>
      <c r="B211" s="8" t="s">
        <v>693</v>
      </c>
      <c r="C211" s="8" t="s">
        <v>2209</v>
      </c>
      <c r="D211" s="12" t="s">
        <v>172</v>
      </c>
      <c r="E211" s="8" t="s">
        <v>2210</v>
      </c>
      <c r="F211" s="8" t="s">
        <v>2290</v>
      </c>
      <c r="G211" s="8" t="s">
        <v>2212</v>
      </c>
      <c r="H211" s="12" t="s">
        <v>194</v>
      </c>
      <c r="I211" s="8" t="s">
        <v>2213</v>
      </c>
      <c r="J211" s="8" t="s">
        <v>2533</v>
      </c>
      <c r="K211" s="8" t="s">
        <v>2215</v>
      </c>
    </row>
    <row r="212" customFormat="false" ht="37.5" hidden="false" customHeight="true" outlineLevel="0" collapsed="false">
      <c r="A212" s="12" t="s">
        <v>692</v>
      </c>
      <c r="B212" s="8" t="s">
        <v>693</v>
      </c>
      <c r="C212" s="8" t="s">
        <v>2209</v>
      </c>
      <c r="D212" s="12" t="s">
        <v>172</v>
      </c>
      <c r="E212" s="8" t="s">
        <v>2210</v>
      </c>
      <c r="F212" s="8" t="s">
        <v>2290</v>
      </c>
      <c r="G212" s="8" t="s">
        <v>2212</v>
      </c>
      <c r="H212" s="12" t="s">
        <v>194</v>
      </c>
      <c r="I212" s="8" t="s">
        <v>2213</v>
      </c>
      <c r="J212" s="8" t="s">
        <v>2534</v>
      </c>
      <c r="K212" s="8" t="s">
        <v>2215</v>
      </c>
    </row>
    <row r="213" customFormat="false" ht="24.75" hidden="false" customHeight="true" outlineLevel="0" collapsed="false">
      <c r="A213" s="12" t="s">
        <v>695</v>
      </c>
      <c r="B213" s="8" t="s">
        <v>696</v>
      </c>
      <c r="C213" s="8" t="s">
        <v>2209</v>
      </c>
      <c r="D213" s="12" t="s">
        <v>172</v>
      </c>
      <c r="E213" s="8" t="s">
        <v>2210</v>
      </c>
      <c r="F213" s="8" t="s">
        <v>2290</v>
      </c>
      <c r="G213" s="8" t="s">
        <v>2212</v>
      </c>
      <c r="H213" s="12" t="s">
        <v>194</v>
      </c>
      <c r="I213" s="8" t="s">
        <v>2213</v>
      </c>
      <c r="J213" s="8" t="s">
        <v>2535</v>
      </c>
      <c r="K213" s="8" t="s">
        <v>2215</v>
      </c>
    </row>
    <row r="214" customFormat="false" ht="24.75" hidden="false" customHeight="true" outlineLevel="0" collapsed="false">
      <c r="A214" s="12" t="s">
        <v>698</v>
      </c>
      <c r="B214" s="8" t="s">
        <v>700</v>
      </c>
      <c r="C214" s="8" t="s">
        <v>2209</v>
      </c>
      <c r="D214" s="12" t="s">
        <v>172</v>
      </c>
      <c r="E214" s="8" t="s">
        <v>2210</v>
      </c>
      <c r="F214" s="8" t="s">
        <v>2290</v>
      </c>
      <c r="G214" s="8" t="s">
        <v>2212</v>
      </c>
      <c r="H214" s="12" t="s">
        <v>194</v>
      </c>
      <c r="I214" s="8" t="s">
        <v>2213</v>
      </c>
      <c r="J214" s="8" t="s">
        <v>2536</v>
      </c>
      <c r="K214" s="8" t="s">
        <v>2215</v>
      </c>
    </row>
    <row r="215" customFormat="false" ht="24.75" hidden="false" customHeight="true" outlineLevel="0" collapsed="false">
      <c r="A215" s="12" t="s">
        <v>698</v>
      </c>
      <c r="B215" s="8" t="s">
        <v>700</v>
      </c>
      <c r="C215" s="8" t="s">
        <v>2209</v>
      </c>
      <c r="D215" s="12" t="s">
        <v>172</v>
      </c>
      <c r="E215" s="8" t="s">
        <v>2210</v>
      </c>
      <c r="F215" s="8" t="s">
        <v>2290</v>
      </c>
      <c r="G215" s="8" t="s">
        <v>2212</v>
      </c>
      <c r="H215" s="12" t="s">
        <v>194</v>
      </c>
      <c r="I215" s="8" t="s">
        <v>2213</v>
      </c>
      <c r="J215" s="8" t="s">
        <v>2537</v>
      </c>
      <c r="K215" s="8" t="s">
        <v>2215</v>
      </c>
    </row>
    <row r="216" customFormat="false" ht="24.75" hidden="false" customHeight="true" outlineLevel="0" collapsed="false">
      <c r="A216" s="12" t="s">
        <v>698</v>
      </c>
      <c r="B216" s="8" t="s">
        <v>700</v>
      </c>
      <c r="C216" s="8" t="s">
        <v>2209</v>
      </c>
      <c r="D216" s="12" t="s">
        <v>172</v>
      </c>
      <c r="E216" s="8" t="s">
        <v>2210</v>
      </c>
      <c r="F216" s="8" t="s">
        <v>2290</v>
      </c>
      <c r="G216" s="8" t="s">
        <v>2212</v>
      </c>
      <c r="H216" s="12" t="s">
        <v>194</v>
      </c>
      <c r="I216" s="8" t="s">
        <v>2213</v>
      </c>
      <c r="J216" s="8" t="s">
        <v>2538</v>
      </c>
      <c r="K216" s="8" t="s">
        <v>2215</v>
      </c>
    </row>
    <row r="217" customFormat="false" ht="14.25" hidden="false" customHeight="false" outlineLevel="0" collapsed="false">
      <c r="A217" s="12" t="s">
        <v>705</v>
      </c>
      <c r="B217" s="8" t="s">
        <v>706</v>
      </c>
      <c r="C217" s="8" t="s">
        <v>2209</v>
      </c>
      <c r="D217" s="12" t="s">
        <v>172</v>
      </c>
      <c r="E217" s="8" t="s">
        <v>2210</v>
      </c>
      <c r="F217" s="8" t="s">
        <v>2539</v>
      </c>
      <c r="G217" s="8" t="s">
        <v>2212</v>
      </c>
      <c r="H217" s="12" t="s">
        <v>194</v>
      </c>
      <c r="I217" s="8" t="s">
        <v>2213</v>
      </c>
      <c r="J217" s="8" t="s">
        <v>2540</v>
      </c>
      <c r="K217" s="8" t="s">
        <v>2215</v>
      </c>
    </row>
    <row r="218" customFormat="false" ht="24.75" hidden="false" customHeight="true" outlineLevel="0" collapsed="false">
      <c r="A218" s="12" t="s">
        <v>705</v>
      </c>
      <c r="B218" s="8" t="s">
        <v>706</v>
      </c>
      <c r="C218" s="8" t="s">
        <v>2209</v>
      </c>
      <c r="D218" s="12" t="s">
        <v>172</v>
      </c>
      <c r="E218" s="8" t="s">
        <v>2210</v>
      </c>
      <c r="F218" s="8" t="s">
        <v>2539</v>
      </c>
      <c r="G218" s="8" t="s">
        <v>2212</v>
      </c>
      <c r="H218" s="12" t="s">
        <v>194</v>
      </c>
      <c r="I218" s="8" t="s">
        <v>2213</v>
      </c>
      <c r="J218" s="8" t="s">
        <v>2541</v>
      </c>
      <c r="K218" s="8" t="s">
        <v>2215</v>
      </c>
    </row>
    <row r="219" customFormat="false" ht="14.25" hidden="false" customHeight="false" outlineLevel="0" collapsed="false">
      <c r="A219" s="12" t="s">
        <v>705</v>
      </c>
      <c r="B219" s="8" t="s">
        <v>706</v>
      </c>
      <c r="C219" s="8" t="s">
        <v>2209</v>
      </c>
      <c r="D219" s="12" t="s">
        <v>172</v>
      </c>
      <c r="E219" s="8" t="s">
        <v>2210</v>
      </c>
      <c r="F219" s="8" t="s">
        <v>2414</v>
      </c>
      <c r="G219" s="8" t="s">
        <v>2542</v>
      </c>
      <c r="H219" s="12" t="s">
        <v>810</v>
      </c>
      <c r="I219" s="8" t="s">
        <v>2213</v>
      </c>
      <c r="J219" s="8" t="s">
        <v>2543</v>
      </c>
      <c r="K219" s="8" t="s">
        <v>2215</v>
      </c>
    </row>
    <row r="220" customFormat="false" ht="24.75" hidden="false" customHeight="true" outlineLevel="0" collapsed="false">
      <c r="A220" s="12" t="s">
        <v>710</v>
      </c>
      <c r="B220" s="8" t="s">
        <v>712</v>
      </c>
      <c r="C220" s="8" t="s">
        <v>2209</v>
      </c>
      <c r="D220" s="12" t="s">
        <v>171</v>
      </c>
      <c r="E220" s="8" t="s">
        <v>2221</v>
      </c>
      <c r="F220" s="8" t="s">
        <v>2544</v>
      </c>
      <c r="G220" s="8" t="s">
        <v>2223</v>
      </c>
      <c r="H220" s="12" t="s">
        <v>194</v>
      </c>
      <c r="I220" s="8" t="s">
        <v>2213</v>
      </c>
      <c r="J220" s="8" t="s">
        <v>2545</v>
      </c>
      <c r="K220" s="8" t="s">
        <v>2215</v>
      </c>
    </row>
    <row r="221" customFormat="false" ht="37.5" hidden="false" customHeight="true" outlineLevel="0" collapsed="false">
      <c r="A221" s="12" t="s">
        <v>710</v>
      </c>
      <c r="B221" s="8" t="s">
        <v>712</v>
      </c>
      <c r="C221" s="8" t="s">
        <v>2209</v>
      </c>
      <c r="D221" s="12" t="s">
        <v>172</v>
      </c>
      <c r="E221" s="8" t="s">
        <v>2210</v>
      </c>
      <c r="F221" s="8" t="s">
        <v>2414</v>
      </c>
      <c r="G221" s="8" t="s">
        <v>2212</v>
      </c>
      <c r="H221" s="12" t="s">
        <v>194</v>
      </c>
      <c r="I221" s="8" t="s">
        <v>2213</v>
      </c>
      <c r="J221" s="8" t="s">
        <v>2546</v>
      </c>
      <c r="K221" s="8" t="s">
        <v>2215</v>
      </c>
    </row>
    <row r="222" customFormat="false" ht="24.75" hidden="false" customHeight="true" outlineLevel="0" collapsed="false">
      <c r="A222" s="12" t="s">
        <v>717</v>
      </c>
      <c r="B222" s="8" t="s">
        <v>720</v>
      </c>
      <c r="C222" s="8" t="s">
        <v>2209</v>
      </c>
      <c r="D222" s="12" t="s">
        <v>171</v>
      </c>
      <c r="E222" s="8" t="s">
        <v>2221</v>
      </c>
      <c r="F222" s="8" t="s">
        <v>2547</v>
      </c>
      <c r="G222" s="8" t="s">
        <v>2223</v>
      </c>
      <c r="H222" s="12" t="s">
        <v>194</v>
      </c>
      <c r="I222" s="8" t="s">
        <v>2213</v>
      </c>
      <c r="J222" s="8" t="s">
        <v>2548</v>
      </c>
      <c r="K222" s="8" t="s">
        <v>2215</v>
      </c>
    </row>
    <row r="223" customFormat="false" ht="37.5" hidden="false" customHeight="true" outlineLevel="0" collapsed="false">
      <c r="A223" s="12" t="s">
        <v>717</v>
      </c>
      <c r="B223" s="8" t="s">
        <v>720</v>
      </c>
      <c r="C223" s="8" t="s">
        <v>2209</v>
      </c>
      <c r="D223" s="12" t="s">
        <v>172</v>
      </c>
      <c r="E223" s="8" t="s">
        <v>2210</v>
      </c>
      <c r="F223" s="8" t="s">
        <v>2549</v>
      </c>
      <c r="G223" s="8" t="s">
        <v>2212</v>
      </c>
      <c r="H223" s="12" t="s">
        <v>194</v>
      </c>
      <c r="I223" s="8" t="s">
        <v>2213</v>
      </c>
      <c r="J223" s="8" t="s">
        <v>2550</v>
      </c>
      <c r="K223" s="8" t="s">
        <v>2215</v>
      </c>
    </row>
    <row r="224" customFormat="false" ht="24.75" hidden="false" customHeight="true" outlineLevel="0" collapsed="false">
      <c r="A224" s="12" t="s">
        <v>717</v>
      </c>
      <c r="B224" s="8" t="s">
        <v>720</v>
      </c>
      <c r="C224" s="8" t="s">
        <v>2209</v>
      </c>
      <c r="D224" s="12" t="s">
        <v>172</v>
      </c>
      <c r="E224" s="8" t="s">
        <v>2210</v>
      </c>
      <c r="F224" s="8" t="s">
        <v>2549</v>
      </c>
      <c r="G224" s="8" t="s">
        <v>2212</v>
      </c>
      <c r="H224" s="12" t="s">
        <v>194</v>
      </c>
      <c r="I224" s="8" t="s">
        <v>2213</v>
      </c>
      <c r="J224" s="8" t="s">
        <v>2551</v>
      </c>
      <c r="K224" s="8" t="s">
        <v>2215</v>
      </c>
    </row>
    <row r="225" customFormat="false" ht="24.75" hidden="false" customHeight="true" outlineLevel="0" collapsed="false">
      <c r="A225" s="12" t="s">
        <v>717</v>
      </c>
      <c r="B225" s="8" t="s">
        <v>720</v>
      </c>
      <c r="C225" s="8" t="s">
        <v>2209</v>
      </c>
      <c r="D225" s="12" t="s">
        <v>174</v>
      </c>
      <c r="E225" s="8" t="s">
        <v>2216</v>
      </c>
      <c r="F225" s="8" t="s">
        <v>2235</v>
      </c>
      <c r="G225" s="8" t="s">
        <v>2218</v>
      </c>
      <c r="H225" s="12" t="s">
        <v>195</v>
      </c>
      <c r="I225" s="8" t="s">
        <v>2213</v>
      </c>
      <c r="J225" s="8" t="s">
        <v>2552</v>
      </c>
      <c r="K225" s="8" t="s">
        <v>2215</v>
      </c>
    </row>
    <row r="226" customFormat="false" ht="49.5" hidden="false" customHeight="true" outlineLevel="0" collapsed="false">
      <c r="A226" s="12" t="s">
        <v>717</v>
      </c>
      <c r="B226" s="8" t="s">
        <v>720</v>
      </c>
      <c r="C226" s="8" t="s">
        <v>2209</v>
      </c>
      <c r="D226" s="12" t="s">
        <v>175</v>
      </c>
      <c r="E226" s="8" t="s">
        <v>2237</v>
      </c>
      <c r="F226" s="8" t="s">
        <v>2475</v>
      </c>
      <c r="G226" s="8" t="s">
        <v>2239</v>
      </c>
      <c r="H226" s="12" t="s">
        <v>194</v>
      </c>
      <c r="I226" s="8" t="s">
        <v>2213</v>
      </c>
      <c r="J226" s="8" t="s">
        <v>2553</v>
      </c>
      <c r="K226" s="8" t="s">
        <v>2215</v>
      </c>
    </row>
    <row r="227" customFormat="false" ht="37.5" hidden="false" customHeight="true" outlineLevel="0" collapsed="false">
      <c r="A227" s="12" t="s">
        <v>725</v>
      </c>
      <c r="B227" s="8" t="s">
        <v>726</v>
      </c>
      <c r="C227" s="8" t="s">
        <v>2209</v>
      </c>
      <c r="D227" s="12" t="s">
        <v>172</v>
      </c>
      <c r="E227" s="8" t="s">
        <v>2210</v>
      </c>
      <c r="F227" s="8" t="s">
        <v>2549</v>
      </c>
      <c r="G227" s="8" t="s">
        <v>2212</v>
      </c>
      <c r="H227" s="12" t="s">
        <v>194</v>
      </c>
      <c r="I227" s="8" t="s">
        <v>2213</v>
      </c>
      <c r="J227" s="8" t="s">
        <v>2554</v>
      </c>
      <c r="K227" s="8" t="s">
        <v>2215</v>
      </c>
    </row>
    <row r="228" customFormat="false" ht="24.75" hidden="false" customHeight="true" outlineLevel="0" collapsed="false">
      <c r="A228" s="12" t="s">
        <v>725</v>
      </c>
      <c r="B228" s="8" t="s">
        <v>726</v>
      </c>
      <c r="C228" s="8" t="s">
        <v>2209</v>
      </c>
      <c r="D228" s="12" t="s">
        <v>172</v>
      </c>
      <c r="E228" s="8" t="s">
        <v>2210</v>
      </c>
      <c r="F228" s="8" t="s">
        <v>2549</v>
      </c>
      <c r="G228" s="8" t="s">
        <v>2212</v>
      </c>
      <c r="H228" s="12" t="s">
        <v>194</v>
      </c>
      <c r="I228" s="8" t="s">
        <v>2213</v>
      </c>
      <c r="J228" s="8" t="s">
        <v>2555</v>
      </c>
      <c r="K228" s="8" t="s">
        <v>2215</v>
      </c>
    </row>
    <row r="229" customFormat="false" ht="24.75" hidden="false" customHeight="true" outlineLevel="0" collapsed="false">
      <c r="A229" s="12" t="s">
        <v>730</v>
      </c>
      <c r="B229" s="8" t="s">
        <v>731</v>
      </c>
      <c r="C229" s="8" t="s">
        <v>2209</v>
      </c>
      <c r="D229" s="12" t="s">
        <v>171</v>
      </c>
      <c r="E229" s="8" t="s">
        <v>2221</v>
      </c>
      <c r="F229" s="8" t="s">
        <v>2556</v>
      </c>
      <c r="G229" s="8" t="s">
        <v>2223</v>
      </c>
      <c r="H229" s="12" t="s">
        <v>194</v>
      </c>
      <c r="I229" s="8" t="s">
        <v>2213</v>
      </c>
      <c r="J229" s="8" t="s">
        <v>2557</v>
      </c>
      <c r="K229" s="8" t="s">
        <v>2215</v>
      </c>
    </row>
    <row r="230" customFormat="false" ht="49.5" hidden="false" customHeight="true" outlineLevel="0" collapsed="false">
      <c r="A230" s="12" t="s">
        <v>730</v>
      </c>
      <c r="B230" s="8" t="s">
        <v>731</v>
      </c>
      <c r="C230" s="8" t="s">
        <v>2209</v>
      </c>
      <c r="D230" s="12" t="s">
        <v>171</v>
      </c>
      <c r="E230" s="8" t="s">
        <v>2221</v>
      </c>
      <c r="F230" s="8" t="s">
        <v>2558</v>
      </c>
      <c r="G230" s="8" t="s">
        <v>2223</v>
      </c>
      <c r="H230" s="12" t="s">
        <v>194</v>
      </c>
      <c r="I230" s="8" t="s">
        <v>2213</v>
      </c>
      <c r="J230" s="8" t="s">
        <v>2559</v>
      </c>
      <c r="K230" s="8" t="s">
        <v>2215</v>
      </c>
    </row>
    <row r="231" customFormat="false" ht="24.75" hidden="false" customHeight="true" outlineLevel="0" collapsed="false">
      <c r="A231" s="12" t="s">
        <v>730</v>
      </c>
      <c r="B231" s="8" t="s">
        <v>731</v>
      </c>
      <c r="C231" s="8" t="s">
        <v>2209</v>
      </c>
      <c r="D231" s="12" t="s">
        <v>171</v>
      </c>
      <c r="E231" s="8" t="s">
        <v>2221</v>
      </c>
      <c r="F231" s="8" t="s">
        <v>2560</v>
      </c>
      <c r="G231" s="8" t="s">
        <v>2223</v>
      </c>
      <c r="H231" s="12" t="s">
        <v>194</v>
      </c>
      <c r="I231" s="8" t="s">
        <v>2213</v>
      </c>
      <c r="J231" s="8" t="s">
        <v>2561</v>
      </c>
      <c r="K231" s="8" t="s">
        <v>2215</v>
      </c>
    </row>
    <row r="232" customFormat="false" ht="24.75" hidden="false" customHeight="true" outlineLevel="0" collapsed="false">
      <c r="A232" s="12" t="s">
        <v>735</v>
      </c>
      <c r="B232" s="8" t="s">
        <v>736</v>
      </c>
      <c r="C232" s="8" t="s">
        <v>2209</v>
      </c>
      <c r="D232" s="12" t="s">
        <v>171</v>
      </c>
      <c r="E232" s="8" t="s">
        <v>2221</v>
      </c>
      <c r="F232" s="8" t="s">
        <v>2562</v>
      </c>
      <c r="G232" s="8" t="s">
        <v>2223</v>
      </c>
      <c r="H232" s="12" t="s">
        <v>194</v>
      </c>
      <c r="I232" s="8" t="s">
        <v>2213</v>
      </c>
      <c r="J232" s="8" t="s">
        <v>2563</v>
      </c>
      <c r="K232" s="8" t="s">
        <v>2215</v>
      </c>
    </row>
    <row r="233" customFormat="false" ht="24.75" hidden="false" customHeight="true" outlineLevel="0" collapsed="false">
      <c r="A233" s="12" t="s">
        <v>735</v>
      </c>
      <c r="B233" s="8" t="s">
        <v>736</v>
      </c>
      <c r="C233" s="8" t="s">
        <v>2209</v>
      </c>
      <c r="D233" s="12" t="s">
        <v>171</v>
      </c>
      <c r="E233" s="8" t="s">
        <v>2221</v>
      </c>
      <c r="F233" s="8" t="s">
        <v>2564</v>
      </c>
      <c r="G233" s="8" t="s">
        <v>2223</v>
      </c>
      <c r="H233" s="12" t="s">
        <v>194</v>
      </c>
      <c r="I233" s="8" t="s">
        <v>2213</v>
      </c>
      <c r="J233" s="8" t="s">
        <v>2565</v>
      </c>
      <c r="K233" s="8" t="s">
        <v>2215</v>
      </c>
    </row>
    <row r="234" customFormat="false" ht="24.75" hidden="false" customHeight="true" outlineLevel="0" collapsed="false">
      <c r="A234" s="12" t="s">
        <v>739</v>
      </c>
      <c r="B234" s="8" t="s">
        <v>740</v>
      </c>
      <c r="C234" s="8" t="s">
        <v>2209</v>
      </c>
      <c r="D234" s="12" t="s">
        <v>171</v>
      </c>
      <c r="E234" s="8" t="s">
        <v>2221</v>
      </c>
      <c r="F234" s="8" t="s">
        <v>2566</v>
      </c>
      <c r="G234" s="8" t="s">
        <v>2223</v>
      </c>
      <c r="H234" s="12" t="s">
        <v>194</v>
      </c>
      <c r="I234" s="8" t="s">
        <v>2213</v>
      </c>
      <c r="J234" s="8" t="s">
        <v>2567</v>
      </c>
      <c r="K234" s="8" t="s">
        <v>2215</v>
      </c>
    </row>
    <row r="235" customFormat="false" ht="24.75" hidden="false" customHeight="true" outlineLevel="0" collapsed="false">
      <c r="A235" s="12" t="s">
        <v>739</v>
      </c>
      <c r="B235" s="8" t="s">
        <v>740</v>
      </c>
      <c r="C235" s="8" t="s">
        <v>2209</v>
      </c>
      <c r="D235" s="12" t="s">
        <v>172</v>
      </c>
      <c r="E235" s="8" t="s">
        <v>2210</v>
      </c>
      <c r="F235" s="8" t="s">
        <v>2549</v>
      </c>
      <c r="G235" s="8" t="s">
        <v>2212</v>
      </c>
      <c r="H235" s="12" t="s">
        <v>194</v>
      </c>
      <c r="I235" s="8" t="s">
        <v>2213</v>
      </c>
      <c r="J235" s="8" t="s">
        <v>2568</v>
      </c>
      <c r="K235" s="8" t="s">
        <v>2215</v>
      </c>
    </row>
    <row r="236" customFormat="false" ht="24.75" hidden="false" customHeight="true" outlineLevel="0" collapsed="false">
      <c r="A236" s="12" t="s">
        <v>739</v>
      </c>
      <c r="B236" s="8" t="s">
        <v>740</v>
      </c>
      <c r="C236" s="8" t="s">
        <v>2209</v>
      </c>
      <c r="D236" s="12" t="s">
        <v>172</v>
      </c>
      <c r="E236" s="8" t="s">
        <v>2210</v>
      </c>
      <c r="F236" s="8" t="s">
        <v>2549</v>
      </c>
      <c r="G236" s="8" t="s">
        <v>2212</v>
      </c>
      <c r="H236" s="12" t="s">
        <v>194</v>
      </c>
      <c r="I236" s="8" t="s">
        <v>2213</v>
      </c>
      <c r="J236" s="8" t="s">
        <v>2569</v>
      </c>
      <c r="K236" s="8" t="s">
        <v>2215</v>
      </c>
    </row>
    <row r="237" customFormat="false" ht="24.75" hidden="false" customHeight="true" outlineLevel="0" collapsed="false">
      <c r="A237" s="12" t="s">
        <v>744</v>
      </c>
      <c r="B237" s="8" t="s">
        <v>745</v>
      </c>
      <c r="C237" s="8" t="s">
        <v>2209</v>
      </c>
      <c r="D237" s="12" t="s">
        <v>172</v>
      </c>
      <c r="E237" s="8" t="s">
        <v>2210</v>
      </c>
      <c r="F237" s="8" t="s">
        <v>2549</v>
      </c>
      <c r="G237" s="8" t="s">
        <v>2212</v>
      </c>
      <c r="H237" s="12" t="s">
        <v>194</v>
      </c>
      <c r="I237" s="8" t="s">
        <v>2213</v>
      </c>
      <c r="J237" s="8" t="s">
        <v>2570</v>
      </c>
      <c r="K237" s="8" t="s">
        <v>2215</v>
      </c>
    </row>
    <row r="238" customFormat="false" ht="24.75" hidden="false" customHeight="true" outlineLevel="0" collapsed="false">
      <c r="A238" s="12" t="s">
        <v>754</v>
      </c>
      <c r="B238" s="8" t="s">
        <v>757</v>
      </c>
      <c r="C238" s="8" t="s">
        <v>2209</v>
      </c>
      <c r="D238" s="12" t="s">
        <v>171</v>
      </c>
      <c r="E238" s="8" t="s">
        <v>2221</v>
      </c>
      <c r="F238" s="8" t="s">
        <v>2571</v>
      </c>
      <c r="G238" s="8" t="s">
        <v>2223</v>
      </c>
      <c r="H238" s="12" t="s">
        <v>194</v>
      </c>
      <c r="I238" s="8" t="s">
        <v>2213</v>
      </c>
      <c r="J238" s="8" t="s">
        <v>2572</v>
      </c>
      <c r="K238" s="8" t="s">
        <v>2215</v>
      </c>
    </row>
    <row r="239" customFormat="false" ht="24.75" hidden="false" customHeight="true" outlineLevel="0" collapsed="false">
      <c r="A239" s="12" t="s">
        <v>754</v>
      </c>
      <c r="B239" s="8" t="s">
        <v>757</v>
      </c>
      <c r="C239" s="8" t="s">
        <v>2209</v>
      </c>
      <c r="D239" s="12" t="s">
        <v>172</v>
      </c>
      <c r="E239" s="8" t="s">
        <v>2210</v>
      </c>
      <c r="F239" s="8" t="s">
        <v>2573</v>
      </c>
      <c r="G239" s="8" t="s">
        <v>2212</v>
      </c>
      <c r="H239" s="12" t="s">
        <v>194</v>
      </c>
      <c r="I239" s="8" t="s">
        <v>2213</v>
      </c>
      <c r="J239" s="8" t="s">
        <v>2574</v>
      </c>
      <c r="K239" s="8" t="s">
        <v>2215</v>
      </c>
    </row>
    <row r="240" customFormat="false" ht="24.75" hidden="false" customHeight="true" outlineLevel="0" collapsed="false">
      <c r="A240" s="12" t="s">
        <v>754</v>
      </c>
      <c r="B240" s="8" t="s">
        <v>757</v>
      </c>
      <c r="C240" s="8" t="s">
        <v>2209</v>
      </c>
      <c r="D240" s="12" t="s">
        <v>174</v>
      </c>
      <c r="E240" s="8" t="s">
        <v>2216</v>
      </c>
      <c r="F240" s="8" t="s">
        <v>2235</v>
      </c>
      <c r="G240" s="8" t="s">
        <v>2218</v>
      </c>
      <c r="H240" s="12" t="s">
        <v>195</v>
      </c>
      <c r="I240" s="8" t="s">
        <v>2213</v>
      </c>
      <c r="J240" s="8" t="s">
        <v>2575</v>
      </c>
      <c r="K240" s="8" t="s">
        <v>2215</v>
      </c>
    </row>
    <row r="241" customFormat="false" ht="24.75" hidden="false" customHeight="true" outlineLevel="0" collapsed="false">
      <c r="A241" s="12" t="s">
        <v>761</v>
      </c>
      <c r="B241" s="8" t="s">
        <v>763</v>
      </c>
      <c r="C241" s="8" t="s">
        <v>2209</v>
      </c>
      <c r="D241" s="12" t="s">
        <v>171</v>
      </c>
      <c r="E241" s="8" t="s">
        <v>2221</v>
      </c>
      <c r="F241" s="8" t="s">
        <v>2576</v>
      </c>
      <c r="G241" s="8" t="s">
        <v>2223</v>
      </c>
      <c r="H241" s="12" t="s">
        <v>194</v>
      </c>
      <c r="I241" s="8" t="s">
        <v>2213</v>
      </c>
      <c r="J241" s="8" t="s">
        <v>2577</v>
      </c>
      <c r="K241" s="8" t="s">
        <v>2215</v>
      </c>
    </row>
    <row r="242" customFormat="false" ht="37.5" hidden="false" customHeight="true" outlineLevel="0" collapsed="false">
      <c r="A242" s="12" t="s">
        <v>761</v>
      </c>
      <c r="B242" s="8" t="s">
        <v>763</v>
      </c>
      <c r="C242" s="8" t="s">
        <v>2209</v>
      </c>
      <c r="D242" s="12" t="s">
        <v>172</v>
      </c>
      <c r="E242" s="8" t="s">
        <v>2210</v>
      </c>
      <c r="F242" s="8" t="s">
        <v>2573</v>
      </c>
      <c r="G242" s="8" t="s">
        <v>2212</v>
      </c>
      <c r="H242" s="12" t="s">
        <v>194</v>
      </c>
      <c r="I242" s="8" t="s">
        <v>2213</v>
      </c>
      <c r="J242" s="8" t="s">
        <v>2578</v>
      </c>
      <c r="K242" s="8" t="s">
        <v>2215</v>
      </c>
    </row>
    <row r="243" customFormat="false" ht="24.75" hidden="false" customHeight="true" outlineLevel="0" collapsed="false">
      <c r="A243" s="12" t="s">
        <v>761</v>
      </c>
      <c r="B243" s="8" t="s">
        <v>763</v>
      </c>
      <c r="C243" s="8" t="s">
        <v>2209</v>
      </c>
      <c r="D243" s="12" t="s">
        <v>172</v>
      </c>
      <c r="E243" s="8" t="s">
        <v>2210</v>
      </c>
      <c r="F243" s="8" t="s">
        <v>2573</v>
      </c>
      <c r="G243" s="8" t="s">
        <v>2212</v>
      </c>
      <c r="H243" s="12" t="s">
        <v>194</v>
      </c>
      <c r="I243" s="8" t="s">
        <v>2213</v>
      </c>
      <c r="J243" s="8" t="s">
        <v>2579</v>
      </c>
      <c r="K243" s="8" t="s">
        <v>2215</v>
      </c>
    </row>
    <row r="244" customFormat="false" ht="24.75" hidden="false" customHeight="true" outlineLevel="0" collapsed="false">
      <c r="A244" s="12" t="s">
        <v>761</v>
      </c>
      <c r="B244" s="8" t="s">
        <v>763</v>
      </c>
      <c r="C244" s="8" t="s">
        <v>2209</v>
      </c>
      <c r="D244" s="12" t="s">
        <v>172</v>
      </c>
      <c r="E244" s="8" t="s">
        <v>2210</v>
      </c>
      <c r="F244" s="8" t="s">
        <v>2573</v>
      </c>
      <c r="G244" s="8" t="s">
        <v>2212</v>
      </c>
      <c r="H244" s="12" t="s">
        <v>194</v>
      </c>
      <c r="I244" s="8" t="s">
        <v>2213</v>
      </c>
      <c r="J244" s="8" t="s">
        <v>2580</v>
      </c>
      <c r="K244" s="8" t="s">
        <v>2215</v>
      </c>
    </row>
    <row r="245" customFormat="false" ht="24.75" hidden="false" customHeight="true" outlineLevel="0" collapsed="false">
      <c r="A245" s="12" t="s">
        <v>767</v>
      </c>
      <c r="B245" s="8" t="s">
        <v>768</v>
      </c>
      <c r="C245" s="8" t="s">
        <v>2209</v>
      </c>
      <c r="D245" s="12" t="s">
        <v>172</v>
      </c>
      <c r="E245" s="8" t="s">
        <v>2210</v>
      </c>
      <c r="F245" s="8" t="s">
        <v>2573</v>
      </c>
      <c r="G245" s="8" t="s">
        <v>2212</v>
      </c>
      <c r="H245" s="12" t="s">
        <v>194</v>
      </c>
      <c r="I245" s="8" t="s">
        <v>2213</v>
      </c>
      <c r="J245" s="8" t="s">
        <v>2581</v>
      </c>
      <c r="K245" s="8" t="s">
        <v>2215</v>
      </c>
    </row>
    <row r="246" customFormat="false" ht="49.5" hidden="false" customHeight="true" outlineLevel="0" collapsed="false">
      <c r="A246" s="12" t="s">
        <v>767</v>
      </c>
      <c r="B246" s="8" t="s">
        <v>768</v>
      </c>
      <c r="C246" s="8" t="s">
        <v>2209</v>
      </c>
      <c r="D246" s="12" t="s">
        <v>172</v>
      </c>
      <c r="E246" s="8" t="s">
        <v>2210</v>
      </c>
      <c r="F246" s="8" t="s">
        <v>2573</v>
      </c>
      <c r="G246" s="8" t="s">
        <v>2212</v>
      </c>
      <c r="H246" s="12" t="s">
        <v>194</v>
      </c>
      <c r="I246" s="8" t="s">
        <v>2213</v>
      </c>
      <c r="J246" s="8" t="s">
        <v>2582</v>
      </c>
      <c r="K246" s="8" t="s">
        <v>2215</v>
      </c>
    </row>
    <row r="247" customFormat="false" ht="24.75" hidden="false" customHeight="true" outlineLevel="0" collapsed="false">
      <c r="A247" s="12" t="s">
        <v>771</v>
      </c>
      <c r="B247" s="8" t="s">
        <v>772</v>
      </c>
      <c r="C247" s="8" t="s">
        <v>2209</v>
      </c>
      <c r="D247" s="12" t="s">
        <v>172</v>
      </c>
      <c r="E247" s="8" t="s">
        <v>2210</v>
      </c>
      <c r="F247" s="8" t="s">
        <v>2573</v>
      </c>
      <c r="G247" s="8" t="s">
        <v>2212</v>
      </c>
      <c r="H247" s="12" t="s">
        <v>194</v>
      </c>
      <c r="I247" s="8" t="s">
        <v>2213</v>
      </c>
      <c r="J247" s="8" t="s">
        <v>2583</v>
      </c>
      <c r="K247" s="8" t="s">
        <v>2215</v>
      </c>
    </row>
    <row r="248" customFormat="false" ht="14.25" hidden="false" customHeight="false" outlineLevel="0" collapsed="false">
      <c r="A248" s="12" t="s">
        <v>771</v>
      </c>
      <c r="B248" s="8" t="s">
        <v>772</v>
      </c>
      <c r="C248" s="8" t="s">
        <v>2209</v>
      </c>
      <c r="D248" s="12" t="s">
        <v>172</v>
      </c>
      <c r="E248" s="8" t="s">
        <v>2210</v>
      </c>
      <c r="F248" s="8" t="s">
        <v>2584</v>
      </c>
      <c r="G248" s="8" t="s">
        <v>2212</v>
      </c>
      <c r="H248" s="12" t="s">
        <v>194</v>
      </c>
      <c r="I248" s="8" t="s">
        <v>2213</v>
      </c>
      <c r="J248" s="8" t="s">
        <v>2585</v>
      </c>
      <c r="K248" s="8" t="s">
        <v>2215</v>
      </c>
    </row>
    <row r="249" customFormat="false" ht="14.25" hidden="false" customHeight="false" outlineLevel="0" collapsed="false">
      <c r="A249" s="12" t="s">
        <v>771</v>
      </c>
      <c r="B249" s="8" t="s">
        <v>772</v>
      </c>
      <c r="C249" s="8" t="s">
        <v>2209</v>
      </c>
      <c r="D249" s="12" t="s">
        <v>172</v>
      </c>
      <c r="E249" s="8" t="s">
        <v>2210</v>
      </c>
      <c r="F249" s="8" t="s">
        <v>2584</v>
      </c>
      <c r="G249" s="8" t="s">
        <v>2212</v>
      </c>
      <c r="H249" s="12" t="s">
        <v>194</v>
      </c>
      <c r="I249" s="8" t="s">
        <v>2213</v>
      </c>
      <c r="J249" s="8" t="s">
        <v>2586</v>
      </c>
      <c r="K249" s="8" t="s">
        <v>2215</v>
      </c>
    </row>
    <row r="250" customFormat="false" ht="49.5" hidden="false" customHeight="true" outlineLevel="0" collapsed="false">
      <c r="A250" s="12" t="s">
        <v>771</v>
      </c>
      <c r="B250" s="8" t="s">
        <v>772</v>
      </c>
      <c r="C250" s="8" t="s">
        <v>2209</v>
      </c>
      <c r="D250" s="12" t="s">
        <v>175</v>
      </c>
      <c r="E250" s="8" t="s">
        <v>2237</v>
      </c>
      <c r="F250" s="8" t="s">
        <v>2475</v>
      </c>
      <c r="G250" s="8" t="s">
        <v>2239</v>
      </c>
      <c r="H250" s="12" t="s">
        <v>194</v>
      </c>
      <c r="I250" s="8" t="s">
        <v>2213</v>
      </c>
      <c r="J250" s="8" t="s">
        <v>2587</v>
      </c>
      <c r="K250" s="8" t="s">
        <v>2215</v>
      </c>
    </row>
    <row r="251" customFormat="false" ht="24.75" hidden="false" customHeight="true" outlineLevel="0" collapsed="false">
      <c r="A251" s="12" t="s">
        <v>776</v>
      </c>
      <c r="B251" s="8" t="s">
        <v>778</v>
      </c>
      <c r="C251" s="8" t="s">
        <v>2209</v>
      </c>
      <c r="D251" s="12" t="s">
        <v>171</v>
      </c>
      <c r="E251" s="8" t="s">
        <v>2221</v>
      </c>
      <c r="F251" s="8" t="s">
        <v>2588</v>
      </c>
      <c r="G251" s="8" t="s">
        <v>2589</v>
      </c>
      <c r="H251" s="12" t="s">
        <v>232</v>
      </c>
      <c r="I251" s="8" t="s">
        <v>2213</v>
      </c>
      <c r="J251" s="8" t="s">
        <v>2590</v>
      </c>
      <c r="K251" s="8" t="s">
        <v>2215</v>
      </c>
    </row>
    <row r="252" customFormat="false" ht="24.75" hidden="false" customHeight="true" outlineLevel="0" collapsed="false">
      <c r="A252" s="12" t="s">
        <v>776</v>
      </c>
      <c r="B252" s="8" t="s">
        <v>778</v>
      </c>
      <c r="C252" s="8" t="s">
        <v>2209</v>
      </c>
      <c r="D252" s="12" t="s">
        <v>171</v>
      </c>
      <c r="E252" s="8" t="s">
        <v>2221</v>
      </c>
      <c r="F252" s="8" t="s">
        <v>2591</v>
      </c>
      <c r="G252" s="8" t="s">
        <v>2223</v>
      </c>
      <c r="H252" s="12" t="s">
        <v>194</v>
      </c>
      <c r="I252" s="8" t="s">
        <v>2213</v>
      </c>
      <c r="J252" s="8" t="s">
        <v>2592</v>
      </c>
      <c r="K252" s="8" t="s">
        <v>2215</v>
      </c>
    </row>
    <row r="253" customFormat="false" ht="24.75" hidden="false" customHeight="true" outlineLevel="0" collapsed="false">
      <c r="A253" s="12" t="s">
        <v>776</v>
      </c>
      <c r="B253" s="8" t="s">
        <v>778</v>
      </c>
      <c r="C253" s="8" t="s">
        <v>2209</v>
      </c>
      <c r="D253" s="12" t="s">
        <v>171</v>
      </c>
      <c r="E253" s="8" t="s">
        <v>2221</v>
      </c>
      <c r="F253" s="8" t="s">
        <v>2593</v>
      </c>
      <c r="G253" s="8" t="s">
        <v>2223</v>
      </c>
      <c r="H253" s="12" t="s">
        <v>194</v>
      </c>
      <c r="I253" s="8" t="s">
        <v>2213</v>
      </c>
      <c r="J253" s="8" t="s">
        <v>2594</v>
      </c>
      <c r="K253" s="8" t="s">
        <v>2215</v>
      </c>
    </row>
    <row r="254" customFormat="false" ht="49.5" hidden="false" customHeight="true" outlineLevel="0" collapsed="false">
      <c r="A254" s="12" t="s">
        <v>776</v>
      </c>
      <c r="B254" s="8" t="s">
        <v>778</v>
      </c>
      <c r="C254" s="8" t="s">
        <v>2209</v>
      </c>
      <c r="D254" s="12" t="s">
        <v>172</v>
      </c>
      <c r="E254" s="8" t="s">
        <v>2210</v>
      </c>
      <c r="F254" s="8" t="s">
        <v>2211</v>
      </c>
      <c r="G254" s="8" t="s">
        <v>2212</v>
      </c>
      <c r="H254" s="12" t="s">
        <v>194</v>
      </c>
      <c r="I254" s="8" t="s">
        <v>2213</v>
      </c>
      <c r="J254" s="8" t="s">
        <v>2595</v>
      </c>
      <c r="K254" s="8" t="s">
        <v>2215</v>
      </c>
    </row>
    <row r="255" customFormat="false" ht="37.5" hidden="false" customHeight="true" outlineLevel="0" collapsed="false">
      <c r="A255" s="12" t="s">
        <v>776</v>
      </c>
      <c r="B255" s="8" t="s">
        <v>778</v>
      </c>
      <c r="C255" s="8" t="s">
        <v>2209</v>
      </c>
      <c r="D255" s="12" t="s">
        <v>172</v>
      </c>
      <c r="E255" s="8" t="s">
        <v>2210</v>
      </c>
      <c r="F255" s="8" t="s">
        <v>2414</v>
      </c>
      <c r="G255" s="8" t="s">
        <v>2212</v>
      </c>
      <c r="H255" s="12" t="s">
        <v>194</v>
      </c>
      <c r="I255" s="8" t="s">
        <v>2213</v>
      </c>
      <c r="J255" s="8" t="s">
        <v>2596</v>
      </c>
      <c r="K255" s="8" t="s">
        <v>2215</v>
      </c>
    </row>
    <row r="256" customFormat="false" ht="24.75" hidden="false" customHeight="true" outlineLevel="0" collapsed="false">
      <c r="A256" s="12" t="s">
        <v>784</v>
      </c>
      <c r="B256" s="8" t="s">
        <v>785</v>
      </c>
      <c r="C256" s="8" t="s">
        <v>2209</v>
      </c>
      <c r="D256" s="12" t="s">
        <v>171</v>
      </c>
      <c r="E256" s="8" t="s">
        <v>2221</v>
      </c>
      <c r="F256" s="8" t="s">
        <v>2597</v>
      </c>
      <c r="G256" s="8" t="s">
        <v>2223</v>
      </c>
      <c r="H256" s="12" t="s">
        <v>194</v>
      </c>
      <c r="I256" s="8" t="s">
        <v>2213</v>
      </c>
      <c r="J256" s="8" t="s">
        <v>2598</v>
      </c>
      <c r="K256" s="8" t="s">
        <v>2215</v>
      </c>
    </row>
    <row r="257" customFormat="false" ht="37.5" hidden="false" customHeight="true" outlineLevel="0" collapsed="false">
      <c r="A257" s="12" t="s">
        <v>791</v>
      </c>
      <c r="B257" s="8" t="s">
        <v>792</v>
      </c>
      <c r="C257" s="8" t="s">
        <v>2209</v>
      </c>
      <c r="D257" s="12" t="s">
        <v>171</v>
      </c>
      <c r="E257" s="8" t="s">
        <v>2221</v>
      </c>
      <c r="F257" s="8" t="s">
        <v>2599</v>
      </c>
      <c r="G257" s="8" t="s">
        <v>2223</v>
      </c>
      <c r="H257" s="12" t="s">
        <v>194</v>
      </c>
      <c r="I257" s="8" t="s">
        <v>2213</v>
      </c>
      <c r="J257" s="8" t="s">
        <v>2600</v>
      </c>
      <c r="K257" s="8" t="s">
        <v>2215</v>
      </c>
    </row>
    <row r="258" customFormat="false" ht="24.75" hidden="false" customHeight="true" outlineLevel="0" collapsed="false">
      <c r="A258" s="12" t="s">
        <v>791</v>
      </c>
      <c r="B258" s="8" t="s">
        <v>792</v>
      </c>
      <c r="C258" s="8" t="s">
        <v>2209</v>
      </c>
      <c r="D258" s="12" t="s">
        <v>171</v>
      </c>
      <c r="E258" s="8" t="s">
        <v>2221</v>
      </c>
      <c r="F258" s="8" t="s">
        <v>2601</v>
      </c>
      <c r="G258" s="8" t="s">
        <v>2223</v>
      </c>
      <c r="H258" s="12" t="s">
        <v>194</v>
      </c>
      <c r="I258" s="8" t="s">
        <v>2213</v>
      </c>
      <c r="J258" s="8" t="s">
        <v>2602</v>
      </c>
      <c r="K258" s="8" t="s">
        <v>2215</v>
      </c>
    </row>
    <row r="259" customFormat="false" ht="24.75" hidden="false" customHeight="true" outlineLevel="0" collapsed="false">
      <c r="A259" s="12" t="s">
        <v>791</v>
      </c>
      <c r="B259" s="8" t="s">
        <v>792</v>
      </c>
      <c r="C259" s="8" t="s">
        <v>2209</v>
      </c>
      <c r="D259" s="12" t="s">
        <v>171</v>
      </c>
      <c r="E259" s="8" t="s">
        <v>2221</v>
      </c>
      <c r="F259" s="8" t="s">
        <v>2603</v>
      </c>
      <c r="G259" s="8" t="s">
        <v>2223</v>
      </c>
      <c r="H259" s="12" t="s">
        <v>194</v>
      </c>
      <c r="I259" s="8" t="s">
        <v>2213</v>
      </c>
      <c r="J259" s="8" t="s">
        <v>2604</v>
      </c>
      <c r="K259" s="8" t="s">
        <v>2215</v>
      </c>
    </row>
    <row r="260" customFormat="false" ht="24.75" hidden="false" customHeight="true" outlineLevel="0" collapsed="false">
      <c r="A260" s="12" t="s">
        <v>797</v>
      </c>
      <c r="B260" s="8" t="s">
        <v>798</v>
      </c>
      <c r="C260" s="8" t="s">
        <v>2209</v>
      </c>
      <c r="D260" s="12" t="s">
        <v>171</v>
      </c>
      <c r="E260" s="8" t="s">
        <v>2221</v>
      </c>
      <c r="F260" s="8" t="s">
        <v>2605</v>
      </c>
      <c r="G260" s="8" t="s">
        <v>2223</v>
      </c>
      <c r="H260" s="12" t="s">
        <v>194</v>
      </c>
      <c r="I260" s="8" t="s">
        <v>2213</v>
      </c>
      <c r="J260" s="8" t="s">
        <v>2606</v>
      </c>
      <c r="K260" s="8" t="s">
        <v>2215</v>
      </c>
    </row>
    <row r="261" customFormat="false" ht="24.75" hidden="false" customHeight="true" outlineLevel="0" collapsed="false">
      <c r="A261" s="12" t="s">
        <v>797</v>
      </c>
      <c r="B261" s="8" t="s">
        <v>798</v>
      </c>
      <c r="C261" s="8" t="s">
        <v>2209</v>
      </c>
      <c r="D261" s="12" t="s">
        <v>171</v>
      </c>
      <c r="E261" s="8" t="s">
        <v>2221</v>
      </c>
      <c r="F261" s="8" t="s">
        <v>2607</v>
      </c>
      <c r="G261" s="8" t="s">
        <v>2223</v>
      </c>
      <c r="H261" s="12" t="s">
        <v>194</v>
      </c>
      <c r="I261" s="8" t="s">
        <v>2213</v>
      </c>
      <c r="J261" s="8" t="s">
        <v>2606</v>
      </c>
      <c r="K261" s="8" t="s">
        <v>2215</v>
      </c>
    </row>
    <row r="262" customFormat="false" ht="24.75" hidden="false" customHeight="true" outlineLevel="0" collapsed="false">
      <c r="A262" s="12" t="s">
        <v>802</v>
      </c>
      <c r="B262" s="8" t="s">
        <v>803</v>
      </c>
      <c r="C262" s="8" t="s">
        <v>2209</v>
      </c>
      <c r="D262" s="12" t="s">
        <v>172</v>
      </c>
      <c r="E262" s="8" t="s">
        <v>2210</v>
      </c>
      <c r="F262" s="8" t="s">
        <v>2414</v>
      </c>
      <c r="G262" s="8" t="s">
        <v>2212</v>
      </c>
      <c r="H262" s="12" t="s">
        <v>194</v>
      </c>
      <c r="I262" s="8" t="s">
        <v>2213</v>
      </c>
      <c r="J262" s="8" t="s">
        <v>2608</v>
      </c>
      <c r="K262" s="8" t="s">
        <v>2215</v>
      </c>
    </row>
    <row r="263" customFormat="false" ht="24.75" hidden="false" customHeight="true" outlineLevel="0" collapsed="false">
      <c r="A263" s="12" t="s">
        <v>802</v>
      </c>
      <c r="B263" s="8" t="s">
        <v>803</v>
      </c>
      <c r="C263" s="8" t="s">
        <v>2209</v>
      </c>
      <c r="D263" s="12" t="s">
        <v>174</v>
      </c>
      <c r="E263" s="8" t="s">
        <v>2216</v>
      </c>
      <c r="F263" s="8" t="s">
        <v>2235</v>
      </c>
      <c r="G263" s="8" t="s">
        <v>2218</v>
      </c>
      <c r="H263" s="12" t="s">
        <v>195</v>
      </c>
      <c r="I263" s="8" t="s">
        <v>2213</v>
      </c>
      <c r="J263" s="8" t="s">
        <v>2575</v>
      </c>
      <c r="K263" s="8" t="s">
        <v>2215</v>
      </c>
    </row>
    <row r="264" customFormat="false" ht="24.75" hidden="false" customHeight="true" outlineLevel="0" collapsed="false">
      <c r="A264" s="12" t="s">
        <v>807</v>
      </c>
      <c r="B264" s="8" t="s">
        <v>808</v>
      </c>
      <c r="C264" s="8" t="s">
        <v>2209</v>
      </c>
      <c r="D264" s="12" t="s">
        <v>172</v>
      </c>
      <c r="E264" s="8" t="s">
        <v>2210</v>
      </c>
      <c r="F264" s="8" t="s">
        <v>2414</v>
      </c>
      <c r="G264" s="8" t="s">
        <v>2542</v>
      </c>
      <c r="H264" s="12" t="s">
        <v>810</v>
      </c>
      <c r="I264" s="8" t="s">
        <v>2213</v>
      </c>
      <c r="J264" s="8" t="s">
        <v>2609</v>
      </c>
      <c r="K264" s="8" t="s">
        <v>2215</v>
      </c>
    </row>
    <row r="265" customFormat="false" ht="24.75" hidden="false" customHeight="true" outlineLevel="0" collapsed="false">
      <c r="A265" s="12" t="s">
        <v>807</v>
      </c>
      <c r="B265" s="8" t="s">
        <v>808</v>
      </c>
      <c r="C265" s="8" t="s">
        <v>2209</v>
      </c>
      <c r="D265" s="12" t="s">
        <v>172</v>
      </c>
      <c r="E265" s="8" t="s">
        <v>2210</v>
      </c>
      <c r="F265" s="8" t="s">
        <v>2414</v>
      </c>
      <c r="G265" s="8" t="s">
        <v>2542</v>
      </c>
      <c r="H265" s="12" t="s">
        <v>810</v>
      </c>
      <c r="I265" s="8" t="s">
        <v>2213</v>
      </c>
      <c r="J265" s="8" t="s">
        <v>2610</v>
      </c>
      <c r="K265" s="8" t="s">
        <v>2215</v>
      </c>
    </row>
    <row r="266" customFormat="false" ht="24.75" hidden="false" customHeight="true" outlineLevel="0" collapsed="false">
      <c r="A266" s="12" t="s">
        <v>807</v>
      </c>
      <c r="B266" s="8" t="s">
        <v>808</v>
      </c>
      <c r="C266" s="8" t="s">
        <v>2209</v>
      </c>
      <c r="D266" s="12" t="s">
        <v>172</v>
      </c>
      <c r="E266" s="8" t="s">
        <v>2210</v>
      </c>
      <c r="F266" s="8" t="s">
        <v>2414</v>
      </c>
      <c r="G266" s="8" t="s">
        <v>2542</v>
      </c>
      <c r="H266" s="12" t="s">
        <v>810</v>
      </c>
      <c r="I266" s="8" t="s">
        <v>2213</v>
      </c>
      <c r="J266" s="8" t="s">
        <v>2611</v>
      </c>
      <c r="K266" s="8" t="s">
        <v>2215</v>
      </c>
    </row>
    <row r="267" customFormat="false" ht="24.75" hidden="false" customHeight="true" outlineLevel="0" collapsed="false">
      <c r="A267" s="12" t="s">
        <v>815</v>
      </c>
      <c r="B267" s="8" t="s">
        <v>819</v>
      </c>
      <c r="C267" s="8" t="s">
        <v>2209</v>
      </c>
      <c r="D267" s="12" t="s">
        <v>171</v>
      </c>
      <c r="E267" s="8" t="s">
        <v>2221</v>
      </c>
      <c r="F267" s="8" t="s">
        <v>2231</v>
      </c>
      <c r="G267" s="8" t="s">
        <v>2223</v>
      </c>
      <c r="H267" s="12" t="s">
        <v>194</v>
      </c>
      <c r="I267" s="8" t="s">
        <v>2213</v>
      </c>
      <c r="J267" s="8" t="s">
        <v>2232</v>
      </c>
      <c r="K267" s="8" t="s">
        <v>2215</v>
      </c>
    </row>
    <row r="268" customFormat="false" ht="24.75" hidden="false" customHeight="true" outlineLevel="0" collapsed="false">
      <c r="A268" s="12" t="s">
        <v>815</v>
      </c>
      <c r="B268" s="8" t="s">
        <v>819</v>
      </c>
      <c r="C268" s="8" t="s">
        <v>2209</v>
      </c>
      <c r="D268" s="12" t="s">
        <v>171</v>
      </c>
      <c r="E268" s="8" t="s">
        <v>2221</v>
      </c>
      <c r="F268" s="8" t="s">
        <v>2225</v>
      </c>
      <c r="G268" s="8" t="s">
        <v>2223</v>
      </c>
      <c r="H268" s="12" t="s">
        <v>194</v>
      </c>
      <c r="I268" s="8" t="s">
        <v>2213</v>
      </c>
      <c r="J268" s="8" t="s">
        <v>2226</v>
      </c>
      <c r="K268" s="8" t="s">
        <v>2215</v>
      </c>
    </row>
    <row r="269" customFormat="false" ht="37.5" hidden="false" customHeight="true" outlineLevel="0" collapsed="false">
      <c r="A269" s="12" t="s">
        <v>815</v>
      </c>
      <c r="B269" s="8" t="s">
        <v>819</v>
      </c>
      <c r="C269" s="8" t="s">
        <v>2209</v>
      </c>
      <c r="D269" s="12" t="s">
        <v>172</v>
      </c>
      <c r="E269" s="8" t="s">
        <v>2210</v>
      </c>
      <c r="F269" s="8" t="s">
        <v>2539</v>
      </c>
      <c r="G269" s="8" t="s">
        <v>2212</v>
      </c>
      <c r="H269" s="12" t="s">
        <v>194</v>
      </c>
      <c r="I269" s="8" t="s">
        <v>2213</v>
      </c>
      <c r="J269" s="8" t="s">
        <v>2612</v>
      </c>
      <c r="K269" s="8" t="s">
        <v>2215</v>
      </c>
    </row>
    <row r="270" customFormat="false" ht="24.75" hidden="false" customHeight="true" outlineLevel="0" collapsed="false">
      <c r="A270" s="12" t="s">
        <v>815</v>
      </c>
      <c r="B270" s="8" t="s">
        <v>819</v>
      </c>
      <c r="C270" s="8" t="s">
        <v>2209</v>
      </c>
      <c r="D270" s="12" t="s">
        <v>173</v>
      </c>
      <c r="E270" s="8" t="s">
        <v>2260</v>
      </c>
      <c r="F270" s="8" t="s">
        <v>2261</v>
      </c>
      <c r="G270" s="8" t="s">
        <v>2262</v>
      </c>
      <c r="H270" s="12" t="s">
        <v>194</v>
      </c>
      <c r="I270" s="8" t="s">
        <v>2213</v>
      </c>
      <c r="J270" s="8" t="s">
        <v>2613</v>
      </c>
      <c r="K270" s="8" t="s">
        <v>2215</v>
      </c>
    </row>
    <row r="271" customFormat="false" ht="24.75" hidden="false" customHeight="true" outlineLevel="0" collapsed="false">
      <c r="A271" s="12" t="s">
        <v>815</v>
      </c>
      <c r="B271" s="8" t="s">
        <v>819</v>
      </c>
      <c r="C271" s="8" t="s">
        <v>2209</v>
      </c>
      <c r="D271" s="12" t="s">
        <v>175</v>
      </c>
      <c r="E271" s="8" t="s">
        <v>2237</v>
      </c>
      <c r="F271" s="8" t="s">
        <v>2614</v>
      </c>
      <c r="G271" s="8" t="s">
        <v>2239</v>
      </c>
      <c r="H271" s="12" t="s">
        <v>194</v>
      </c>
      <c r="I271" s="8" t="s">
        <v>2213</v>
      </c>
      <c r="J271" s="8" t="s">
        <v>2615</v>
      </c>
      <c r="K271" s="8" t="s">
        <v>2215</v>
      </c>
    </row>
    <row r="272" customFormat="false" ht="24.75" hidden="false" customHeight="true" outlineLevel="0" collapsed="false">
      <c r="A272" s="12" t="s">
        <v>815</v>
      </c>
      <c r="B272" s="8" t="s">
        <v>819</v>
      </c>
      <c r="C272" s="8" t="s">
        <v>2209</v>
      </c>
      <c r="D272" s="12" t="s">
        <v>176</v>
      </c>
      <c r="E272" s="8" t="s">
        <v>2481</v>
      </c>
      <c r="F272" s="8" t="s">
        <v>2616</v>
      </c>
      <c r="G272" s="8" t="s">
        <v>2483</v>
      </c>
      <c r="H272" s="12" t="s">
        <v>194</v>
      </c>
      <c r="I272" s="8" t="s">
        <v>2213</v>
      </c>
      <c r="J272" s="8" t="s">
        <v>2617</v>
      </c>
      <c r="K272" s="8" t="s">
        <v>2485</v>
      </c>
    </row>
    <row r="273" customFormat="false" ht="24.75" hidden="false" customHeight="true" outlineLevel="0" collapsed="false">
      <c r="A273" s="12" t="s">
        <v>825</v>
      </c>
      <c r="B273" s="8" t="s">
        <v>826</v>
      </c>
      <c r="C273" s="8" t="s">
        <v>2209</v>
      </c>
      <c r="D273" s="12" t="s">
        <v>171</v>
      </c>
      <c r="E273" s="8" t="s">
        <v>2221</v>
      </c>
      <c r="F273" s="8" t="s">
        <v>2618</v>
      </c>
      <c r="G273" s="8" t="s">
        <v>2223</v>
      </c>
      <c r="H273" s="12" t="s">
        <v>194</v>
      </c>
      <c r="I273" s="8" t="s">
        <v>2213</v>
      </c>
      <c r="J273" s="8" t="s">
        <v>2619</v>
      </c>
      <c r="K273" s="8" t="s">
        <v>2215</v>
      </c>
    </row>
    <row r="274" customFormat="false" ht="37.5" hidden="false" customHeight="true" outlineLevel="0" collapsed="false">
      <c r="A274" s="12" t="s">
        <v>825</v>
      </c>
      <c r="B274" s="8" t="s">
        <v>826</v>
      </c>
      <c r="C274" s="8" t="s">
        <v>2209</v>
      </c>
      <c r="D274" s="12" t="s">
        <v>172</v>
      </c>
      <c r="E274" s="8" t="s">
        <v>2210</v>
      </c>
      <c r="F274" s="8" t="s">
        <v>2211</v>
      </c>
      <c r="G274" s="8" t="s">
        <v>2212</v>
      </c>
      <c r="H274" s="12" t="s">
        <v>194</v>
      </c>
      <c r="I274" s="8" t="s">
        <v>2213</v>
      </c>
      <c r="J274" s="8" t="s">
        <v>2620</v>
      </c>
      <c r="K274" s="8" t="s">
        <v>2215</v>
      </c>
    </row>
    <row r="275" customFormat="false" ht="37.5" hidden="false" customHeight="true" outlineLevel="0" collapsed="false">
      <c r="A275" s="12" t="s">
        <v>829</v>
      </c>
      <c r="B275" s="8" t="s">
        <v>830</v>
      </c>
      <c r="C275" s="8" t="s">
        <v>2209</v>
      </c>
      <c r="D275" s="12" t="s">
        <v>174</v>
      </c>
      <c r="E275" s="8" t="s">
        <v>2216</v>
      </c>
      <c r="F275" s="8" t="s">
        <v>2235</v>
      </c>
      <c r="G275" s="8" t="s">
        <v>2218</v>
      </c>
      <c r="H275" s="12" t="s">
        <v>195</v>
      </c>
      <c r="I275" s="8" t="s">
        <v>2213</v>
      </c>
      <c r="J275" s="8" t="s">
        <v>2621</v>
      </c>
      <c r="K275" s="8" t="s">
        <v>2215</v>
      </c>
    </row>
    <row r="276" customFormat="false" ht="24.75" hidden="false" customHeight="true" outlineLevel="0" collapsed="false">
      <c r="A276" s="12" t="s">
        <v>833</v>
      </c>
      <c r="B276" s="8" t="s">
        <v>834</v>
      </c>
      <c r="C276" s="8" t="s">
        <v>2209</v>
      </c>
      <c r="D276" s="12" t="s">
        <v>171</v>
      </c>
      <c r="E276" s="8" t="s">
        <v>2221</v>
      </c>
      <c r="F276" s="8" t="s">
        <v>2243</v>
      </c>
      <c r="G276" s="8" t="s">
        <v>2244</v>
      </c>
      <c r="H276" s="12" t="s">
        <v>232</v>
      </c>
      <c r="I276" s="8" t="s">
        <v>2213</v>
      </c>
      <c r="J276" s="8" t="s">
        <v>2245</v>
      </c>
      <c r="K276" s="8" t="s">
        <v>2215</v>
      </c>
    </row>
    <row r="277" customFormat="false" ht="37.5" hidden="false" customHeight="true" outlineLevel="0" collapsed="false">
      <c r="A277" s="12" t="s">
        <v>833</v>
      </c>
      <c r="B277" s="8" t="s">
        <v>834</v>
      </c>
      <c r="C277" s="8" t="s">
        <v>2209</v>
      </c>
      <c r="D277" s="12" t="s">
        <v>172</v>
      </c>
      <c r="E277" s="8" t="s">
        <v>2210</v>
      </c>
      <c r="F277" s="8" t="s">
        <v>2539</v>
      </c>
      <c r="G277" s="8" t="s">
        <v>2212</v>
      </c>
      <c r="H277" s="12" t="s">
        <v>194</v>
      </c>
      <c r="I277" s="8" t="s">
        <v>2213</v>
      </c>
      <c r="J277" s="8" t="s">
        <v>2622</v>
      </c>
      <c r="K277" s="8" t="s">
        <v>2215</v>
      </c>
    </row>
    <row r="278" customFormat="false" ht="14.25" hidden="false" customHeight="false" outlineLevel="0" collapsed="false">
      <c r="A278" s="12" t="s">
        <v>838</v>
      </c>
      <c r="B278" s="8" t="s">
        <v>839</v>
      </c>
      <c r="C278" s="8" t="s">
        <v>2209</v>
      </c>
      <c r="D278" s="12" t="s">
        <v>171</v>
      </c>
      <c r="E278" s="8" t="s">
        <v>2221</v>
      </c>
      <c r="F278" s="8" t="s">
        <v>2623</v>
      </c>
      <c r="G278" s="8" t="s">
        <v>2223</v>
      </c>
      <c r="H278" s="12" t="s">
        <v>194</v>
      </c>
      <c r="I278" s="8" t="s">
        <v>2213</v>
      </c>
      <c r="J278" s="8" t="s">
        <v>2624</v>
      </c>
      <c r="K278" s="8" t="s">
        <v>2215</v>
      </c>
    </row>
    <row r="279" customFormat="false" ht="14.25" hidden="false" customHeight="false" outlineLevel="0" collapsed="false">
      <c r="A279" s="12" t="s">
        <v>842</v>
      </c>
      <c r="B279" s="8" t="s">
        <v>843</v>
      </c>
      <c r="C279" s="8" t="s">
        <v>2209</v>
      </c>
      <c r="D279" s="12" t="s">
        <v>171</v>
      </c>
      <c r="E279" s="8" t="s">
        <v>2221</v>
      </c>
      <c r="F279" s="8" t="s">
        <v>2625</v>
      </c>
      <c r="G279" s="8" t="s">
        <v>2223</v>
      </c>
      <c r="H279" s="12" t="s">
        <v>194</v>
      </c>
      <c r="I279" s="8" t="s">
        <v>2213</v>
      </c>
      <c r="J279" s="8" t="s">
        <v>2626</v>
      </c>
      <c r="K279" s="8" t="s">
        <v>2215</v>
      </c>
    </row>
    <row r="280" customFormat="false" ht="24.75" hidden="false" customHeight="true" outlineLevel="0" collapsed="false">
      <c r="A280" s="12" t="s">
        <v>842</v>
      </c>
      <c r="B280" s="8" t="s">
        <v>843</v>
      </c>
      <c r="C280" s="8" t="s">
        <v>2209</v>
      </c>
      <c r="D280" s="12" t="s">
        <v>172</v>
      </c>
      <c r="E280" s="8" t="s">
        <v>2210</v>
      </c>
      <c r="F280" s="8" t="s">
        <v>2539</v>
      </c>
      <c r="G280" s="8" t="s">
        <v>2627</v>
      </c>
      <c r="H280" s="12" t="s">
        <v>194</v>
      </c>
      <c r="I280" s="8" t="s">
        <v>2213</v>
      </c>
      <c r="J280" s="8" t="s">
        <v>2628</v>
      </c>
      <c r="K280" s="8" t="s">
        <v>2215</v>
      </c>
    </row>
    <row r="281" customFormat="false" ht="24.75" hidden="false" customHeight="true" outlineLevel="0" collapsed="false">
      <c r="A281" s="12" t="s">
        <v>847</v>
      </c>
      <c r="B281" s="8" t="s">
        <v>848</v>
      </c>
      <c r="C281" s="8" t="s">
        <v>2209</v>
      </c>
      <c r="D281" s="12" t="s">
        <v>171</v>
      </c>
      <c r="E281" s="8" t="s">
        <v>2221</v>
      </c>
      <c r="F281" s="8" t="s">
        <v>2629</v>
      </c>
      <c r="G281" s="8" t="s">
        <v>2223</v>
      </c>
      <c r="H281" s="12" t="s">
        <v>194</v>
      </c>
      <c r="I281" s="8" t="s">
        <v>2213</v>
      </c>
      <c r="J281" s="8" t="s">
        <v>2630</v>
      </c>
      <c r="K281" s="8" t="s">
        <v>2215</v>
      </c>
    </row>
    <row r="282" customFormat="false" ht="37.5" hidden="false" customHeight="true" outlineLevel="0" collapsed="false">
      <c r="A282" s="12" t="s">
        <v>847</v>
      </c>
      <c r="B282" s="8" t="s">
        <v>848</v>
      </c>
      <c r="C282" s="8" t="s">
        <v>2209</v>
      </c>
      <c r="D282" s="12" t="s">
        <v>172</v>
      </c>
      <c r="E282" s="8" t="s">
        <v>2210</v>
      </c>
      <c r="F282" s="8" t="s">
        <v>2539</v>
      </c>
      <c r="G282" s="8" t="s">
        <v>2212</v>
      </c>
      <c r="H282" s="12" t="s">
        <v>194</v>
      </c>
      <c r="I282" s="8" t="s">
        <v>2213</v>
      </c>
      <c r="J282" s="8" t="s">
        <v>2631</v>
      </c>
      <c r="K282" s="8" t="s">
        <v>2215</v>
      </c>
    </row>
    <row r="283" customFormat="false" ht="37.5" hidden="false" customHeight="true" outlineLevel="0" collapsed="false">
      <c r="A283" s="12" t="s">
        <v>847</v>
      </c>
      <c r="B283" s="8" t="s">
        <v>848</v>
      </c>
      <c r="C283" s="8" t="s">
        <v>2209</v>
      </c>
      <c r="D283" s="12" t="s">
        <v>172</v>
      </c>
      <c r="E283" s="8" t="s">
        <v>2210</v>
      </c>
      <c r="F283" s="8" t="s">
        <v>2539</v>
      </c>
      <c r="G283" s="8" t="s">
        <v>2627</v>
      </c>
      <c r="H283" s="12" t="s">
        <v>194</v>
      </c>
      <c r="I283" s="8" t="s">
        <v>2213</v>
      </c>
      <c r="J283" s="8" t="s">
        <v>2632</v>
      </c>
      <c r="K283" s="8" t="s">
        <v>2215</v>
      </c>
    </row>
    <row r="284" customFormat="false" ht="49.5" hidden="false" customHeight="true" outlineLevel="0" collapsed="false">
      <c r="A284" s="12" t="s">
        <v>852</v>
      </c>
      <c r="B284" s="8" t="s">
        <v>853</v>
      </c>
      <c r="C284" s="8" t="s">
        <v>2209</v>
      </c>
      <c r="D284" s="12" t="s">
        <v>172</v>
      </c>
      <c r="E284" s="8" t="s">
        <v>2210</v>
      </c>
      <c r="F284" s="8" t="s">
        <v>2539</v>
      </c>
      <c r="G284" s="8" t="s">
        <v>2212</v>
      </c>
      <c r="H284" s="12" t="s">
        <v>194</v>
      </c>
      <c r="I284" s="8" t="s">
        <v>2213</v>
      </c>
      <c r="J284" s="8" t="s">
        <v>2633</v>
      </c>
      <c r="K284" s="8" t="s">
        <v>2215</v>
      </c>
    </row>
    <row r="285" customFormat="false" ht="14.25" hidden="false" customHeight="false" outlineLevel="0" collapsed="false">
      <c r="A285" s="12" t="s">
        <v>857</v>
      </c>
      <c r="B285" s="8" t="s">
        <v>860</v>
      </c>
      <c r="C285" s="8" t="s">
        <v>2209</v>
      </c>
      <c r="D285" s="12" t="s">
        <v>171</v>
      </c>
      <c r="E285" s="8" t="s">
        <v>2221</v>
      </c>
      <c r="F285" s="8" t="s">
        <v>2634</v>
      </c>
      <c r="G285" s="8" t="s">
        <v>2223</v>
      </c>
      <c r="H285" s="12" t="s">
        <v>194</v>
      </c>
      <c r="I285" s="8" t="s">
        <v>2213</v>
      </c>
      <c r="J285" s="8" t="s">
        <v>2635</v>
      </c>
      <c r="K285" s="8" t="s">
        <v>2215</v>
      </c>
    </row>
    <row r="286" customFormat="false" ht="14.25" hidden="false" customHeight="false" outlineLevel="0" collapsed="false">
      <c r="A286" s="12" t="s">
        <v>857</v>
      </c>
      <c r="B286" s="8" t="s">
        <v>860</v>
      </c>
      <c r="C286" s="8" t="s">
        <v>2209</v>
      </c>
      <c r="D286" s="12" t="s">
        <v>171</v>
      </c>
      <c r="E286" s="8" t="s">
        <v>2221</v>
      </c>
      <c r="F286" s="8" t="s">
        <v>2636</v>
      </c>
      <c r="G286" s="8" t="s">
        <v>2223</v>
      </c>
      <c r="H286" s="12" t="s">
        <v>194</v>
      </c>
      <c r="I286" s="8" t="s">
        <v>2213</v>
      </c>
      <c r="J286" s="8" t="s">
        <v>2637</v>
      </c>
      <c r="K286" s="8" t="s">
        <v>2215</v>
      </c>
    </row>
    <row r="287" customFormat="false" ht="24.75" hidden="false" customHeight="true" outlineLevel="0" collapsed="false">
      <c r="A287" s="12" t="s">
        <v>857</v>
      </c>
      <c r="B287" s="8" t="s">
        <v>860</v>
      </c>
      <c r="C287" s="8" t="s">
        <v>2209</v>
      </c>
      <c r="D287" s="12" t="s">
        <v>172</v>
      </c>
      <c r="E287" s="8" t="s">
        <v>2210</v>
      </c>
      <c r="F287" s="8" t="s">
        <v>2539</v>
      </c>
      <c r="G287" s="8" t="s">
        <v>2212</v>
      </c>
      <c r="H287" s="12" t="s">
        <v>194</v>
      </c>
      <c r="I287" s="8" t="s">
        <v>2213</v>
      </c>
      <c r="J287" s="8" t="s">
        <v>2638</v>
      </c>
      <c r="K287" s="8" t="s">
        <v>2215</v>
      </c>
    </row>
    <row r="288" customFormat="false" ht="24.75" hidden="false" customHeight="true" outlineLevel="0" collapsed="false">
      <c r="A288" s="12" t="s">
        <v>857</v>
      </c>
      <c r="B288" s="8" t="s">
        <v>860</v>
      </c>
      <c r="C288" s="8" t="s">
        <v>2209</v>
      </c>
      <c r="D288" s="12" t="s">
        <v>174</v>
      </c>
      <c r="E288" s="8" t="s">
        <v>2216</v>
      </c>
      <c r="F288" s="8" t="s">
        <v>2405</v>
      </c>
      <c r="G288" s="8" t="s">
        <v>2218</v>
      </c>
      <c r="H288" s="12" t="s">
        <v>195</v>
      </c>
      <c r="I288" s="8" t="s">
        <v>2213</v>
      </c>
      <c r="J288" s="8" t="s">
        <v>2639</v>
      </c>
      <c r="K288" s="8" t="s">
        <v>2215</v>
      </c>
    </row>
    <row r="289" customFormat="false" ht="24.75" hidden="false" customHeight="true" outlineLevel="0" collapsed="false">
      <c r="A289" s="12" t="s">
        <v>857</v>
      </c>
      <c r="B289" s="8" t="s">
        <v>860</v>
      </c>
      <c r="C289" s="8" t="s">
        <v>2209</v>
      </c>
      <c r="D289" s="12" t="s">
        <v>176</v>
      </c>
      <c r="E289" s="8" t="s">
        <v>2481</v>
      </c>
      <c r="F289" s="8" t="s">
        <v>2640</v>
      </c>
      <c r="G289" s="8" t="s">
        <v>2483</v>
      </c>
      <c r="H289" s="12" t="s">
        <v>194</v>
      </c>
      <c r="I289" s="8" t="s">
        <v>2213</v>
      </c>
      <c r="J289" s="8" t="s">
        <v>2641</v>
      </c>
      <c r="K289" s="8" t="s">
        <v>2485</v>
      </c>
    </row>
    <row r="290" customFormat="false" ht="24.75" hidden="false" customHeight="true" outlineLevel="0" collapsed="false">
      <c r="A290" s="12" t="s">
        <v>864</v>
      </c>
      <c r="B290" s="8" t="s">
        <v>865</v>
      </c>
      <c r="C290" s="8" t="s">
        <v>2209</v>
      </c>
      <c r="D290" s="12" t="s">
        <v>172</v>
      </c>
      <c r="E290" s="8" t="s">
        <v>2210</v>
      </c>
      <c r="F290" s="8" t="s">
        <v>2539</v>
      </c>
      <c r="G290" s="8" t="s">
        <v>2212</v>
      </c>
      <c r="H290" s="12" t="s">
        <v>194</v>
      </c>
      <c r="I290" s="8" t="s">
        <v>2213</v>
      </c>
      <c r="J290" s="8" t="s">
        <v>2642</v>
      </c>
      <c r="K290" s="8" t="s">
        <v>2215</v>
      </c>
    </row>
    <row r="291" customFormat="false" ht="24.75" hidden="false" customHeight="true" outlineLevel="0" collapsed="false">
      <c r="A291" s="12" t="s">
        <v>864</v>
      </c>
      <c r="B291" s="8" t="s">
        <v>865</v>
      </c>
      <c r="C291" s="8" t="s">
        <v>2209</v>
      </c>
      <c r="D291" s="12" t="s">
        <v>174</v>
      </c>
      <c r="E291" s="8" t="s">
        <v>2216</v>
      </c>
      <c r="F291" s="8" t="s">
        <v>2405</v>
      </c>
      <c r="G291" s="8" t="s">
        <v>2218</v>
      </c>
      <c r="H291" s="12" t="s">
        <v>195</v>
      </c>
      <c r="I291" s="8" t="s">
        <v>2213</v>
      </c>
      <c r="J291" s="8" t="s">
        <v>2639</v>
      </c>
      <c r="K291" s="8" t="s">
        <v>2215</v>
      </c>
    </row>
    <row r="292" customFormat="false" ht="24.75" hidden="false" customHeight="true" outlineLevel="0" collapsed="false">
      <c r="A292" s="12" t="s">
        <v>864</v>
      </c>
      <c r="B292" s="8" t="s">
        <v>865</v>
      </c>
      <c r="C292" s="8" t="s">
        <v>2209</v>
      </c>
      <c r="D292" s="12" t="s">
        <v>176</v>
      </c>
      <c r="E292" s="8" t="s">
        <v>2481</v>
      </c>
      <c r="F292" s="8" t="s">
        <v>2643</v>
      </c>
      <c r="G292" s="8" t="s">
        <v>2483</v>
      </c>
      <c r="H292" s="12" t="s">
        <v>194</v>
      </c>
      <c r="I292" s="8" t="s">
        <v>2213</v>
      </c>
      <c r="J292" s="8" t="s">
        <v>2644</v>
      </c>
      <c r="K292" s="8" t="s">
        <v>2485</v>
      </c>
    </row>
    <row r="293" customFormat="false" ht="24.75" hidden="false" customHeight="true" outlineLevel="0" collapsed="false">
      <c r="A293" s="12" t="s">
        <v>864</v>
      </c>
      <c r="B293" s="8" t="s">
        <v>865</v>
      </c>
      <c r="C293" s="8" t="s">
        <v>2209</v>
      </c>
      <c r="D293" s="12" t="s">
        <v>176</v>
      </c>
      <c r="E293" s="8" t="s">
        <v>2481</v>
      </c>
      <c r="F293" s="8" t="s">
        <v>2645</v>
      </c>
      <c r="G293" s="8" t="s">
        <v>2483</v>
      </c>
      <c r="H293" s="12" t="s">
        <v>194</v>
      </c>
      <c r="I293" s="8" t="s">
        <v>2213</v>
      </c>
      <c r="J293" s="8" t="s">
        <v>2646</v>
      </c>
      <c r="K293" s="8" t="s">
        <v>2485</v>
      </c>
    </row>
    <row r="294" customFormat="false" ht="24.75" hidden="false" customHeight="true" outlineLevel="0" collapsed="false">
      <c r="A294" s="12" t="s">
        <v>864</v>
      </c>
      <c r="B294" s="8" t="s">
        <v>865</v>
      </c>
      <c r="C294" s="8" t="s">
        <v>2209</v>
      </c>
      <c r="D294" s="12" t="s">
        <v>176</v>
      </c>
      <c r="E294" s="8" t="s">
        <v>2481</v>
      </c>
      <c r="F294" s="8" t="s">
        <v>2647</v>
      </c>
      <c r="G294" s="8" t="s">
        <v>2648</v>
      </c>
      <c r="H294" s="12" t="s">
        <v>232</v>
      </c>
      <c r="I294" s="8" t="s">
        <v>2213</v>
      </c>
      <c r="J294" s="8" t="s">
        <v>2649</v>
      </c>
      <c r="K294" s="8" t="s">
        <v>2485</v>
      </c>
    </row>
    <row r="295" customFormat="false" ht="24.75" hidden="false" customHeight="true" outlineLevel="0" collapsed="false">
      <c r="A295" s="12" t="s">
        <v>870</v>
      </c>
      <c r="B295" s="8" t="s">
        <v>871</v>
      </c>
      <c r="C295" s="8" t="s">
        <v>2209</v>
      </c>
      <c r="D295" s="12" t="s">
        <v>174</v>
      </c>
      <c r="E295" s="8" t="s">
        <v>2216</v>
      </c>
      <c r="F295" s="8" t="s">
        <v>2405</v>
      </c>
      <c r="G295" s="8" t="s">
        <v>2218</v>
      </c>
      <c r="H295" s="12" t="s">
        <v>195</v>
      </c>
      <c r="I295" s="8" t="s">
        <v>2213</v>
      </c>
      <c r="J295" s="8" t="s">
        <v>2650</v>
      </c>
      <c r="K295" s="8" t="s">
        <v>2215</v>
      </c>
    </row>
    <row r="296" customFormat="false" ht="24.75" hidden="false" customHeight="true" outlineLevel="0" collapsed="false">
      <c r="A296" s="12" t="s">
        <v>874</v>
      </c>
      <c r="B296" s="8" t="s">
        <v>875</v>
      </c>
      <c r="C296" s="8" t="s">
        <v>2209</v>
      </c>
      <c r="D296" s="12" t="s">
        <v>171</v>
      </c>
      <c r="E296" s="8" t="s">
        <v>2221</v>
      </c>
      <c r="F296" s="8" t="s">
        <v>2651</v>
      </c>
      <c r="G296" s="8" t="s">
        <v>2223</v>
      </c>
      <c r="H296" s="12" t="s">
        <v>194</v>
      </c>
      <c r="I296" s="8" t="s">
        <v>2213</v>
      </c>
      <c r="J296" s="8" t="s">
        <v>2652</v>
      </c>
      <c r="K296" s="8" t="s">
        <v>2215</v>
      </c>
    </row>
    <row r="297" customFormat="false" ht="24.75" hidden="false" customHeight="true" outlineLevel="0" collapsed="false">
      <c r="A297" s="12" t="s">
        <v>879</v>
      </c>
      <c r="B297" s="8" t="s">
        <v>880</v>
      </c>
      <c r="C297" s="8" t="s">
        <v>2209</v>
      </c>
      <c r="D297" s="12" t="s">
        <v>171</v>
      </c>
      <c r="E297" s="8" t="s">
        <v>2221</v>
      </c>
      <c r="F297" s="8" t="s">
        <v>2636</v>
      </c>
      <c r="G297" s="8" t="s">
        <v>2223</v>
      </c>
      <c r="H297" s="12" t="s">
        <v>194</v>
      </c>
      <c r="I297" s="8" t="s">
        <v>2213</v>
      </c>
      <c r="J297" s="8" t="s">
        <v>2637</v>
      </c>
      <c r="K297" s="8" t="s">
        <v>2215</v>
      </c>
    </row>
    <row r="298" customFormat="false" ht="24.75" hidden="false" customHeight="true" outlineLevel="0" collapsed="false">
      <c r="A298" s="12" t="s">
        <v>879</v>
      </c>
      <c r="B298" s="8" t="s">
        <v>880</v>
      </c>
      <c r="C298" s="8" t="s">
        <v>2209</v>
      </c>
      <c r="D298" s="12" t="s">
        <v>171</v>
      </c>
      <c r="E298" s="8" t="s">
        <v>2221</v>
      </c>
      <c r="F298" s="8" t="s">
        <v>2653</v>
      </c>
      <c r="G298" s="8" t="s">
        <v>2223</v>
      </c>
      <c r="H298" s="12" t="s">
        <v>194</v>
      </c>
      <c r="I298" s="8" t="s">
        <v>2213</v>
      </c>
      <c r="J298" s="8" t="s">
        <v>2654</v>
      </c>
      <c r="K298" s="8" t="s">
        <v>2215</v>
      </c>
    </row>
    <row r="299" customFormat="false" ht="24.75" hidden="false" customHeight="true" outlineLevel="0" collapsed="false">
      <c r="A299" s="12" t="s">
        <v>879</v>
      </c>
      <c r="B299" s="8" t="s">
        <v>880</v>
      </c>
      <c r="C299" s="8" t="s">
        <v>2209</v>
      </c>
      <c r="D299" s="12" t="s">
        <v>176</v>
      </c>
      <c r="E299" s="8" t="s">
        <v>2481</v>
      </c>
      <c r="F299" s="8" t="s">
        <v>2655</v>
      </c>
      <c r="G299" s="8" t="s">
        <v>2483</v>
      </c>
      <c r="H299" s="12" t="s">
        <v>194</v>
      </c>
      <c r="I299" s="8" t="s">
        <v>2213</v>
      </c>
      <c r="J299" s="8" t="s">
        <v>2656</v>
      </c>
      <c r="K299" s="8" t="s">
        <v>2485</v>
      </c>
    </row>
    <row r="300" customFormat="false" ht="24.75" hidden="false" customHeight="true" outlineLevel="0" collapsed="false">
      <c r="A300" s="12" t="s">
        <v>879</v>
      </c>
      <c r="B300" s="8" t="s">
        <v>880</v>
      </c>
      <c r="C300" s="8" t="s">
        <v>2209</v>
      </c>
      <c r="D300" s="12" t="s">
        <v>176</v>
      </c>
      <c r="E300" s="8" t="s">
        <v>2481</v>
      </c>
      <c r="F300" s="8" t="s">
        <v>2657</v>
      </c>
      <c r="G300" s="8" t="s">
        <v>2483</v>
      </c>
      <c r="H300" s="12" t="s">
        <v>194</v>
      </c>
      <c r="I300" s="8" t="s">
        <v>2213</v>
      </c>
      <c r="J300" s="8" t="s">
        <v>2658</v>
      </c>
      <c r="K300" s="8" t="s">
        <v>2485</v>
      </c>
    </row>
    <row r="301" customFormat="false" ht="24.75" hidden="false" customHeight="true" outlineLevel="0" collapsed="false">
      <c r="A301" s="12" t="s">
        <v>879</v>
      </c>
      <c r="B301" s="8" t="s">
        <v>880</v>
      </c>
      <c r="C301" s="8" t="s">
        <v>2209</v>
      </c>
      <c r="D301" s="12" t="s">
        <v>176</v>
      </c>
      <c r="E301" s="8" t="s">
        <v>2481</v>
      </c>
      <c r="F301" s="8" t="s">
        <v>2659</v>
      </c>
      <c r="G301" s="8" t="s">
        <v>2483</v>
      </c>
      <c r="H301" s="12" t="s">
        <v>194</v>
      </c>
      <c r="I301" s="8" t="s">
        <v>2213</v>
      </c>
      <c r="J301" s="8" t="s">
        <v>2660</v>
      </c>
      <c r="K301" s="8" t="s">
        <v>2485</v>
      </c>
    </row>
    <row r="302" customFormat="false" ht="24.75" hidden="false" customHeight="true" outlineLevel="0" collapsed="false">
      <c r="A302" s="12" t="s">
        <v>884</v>
      </c>
      <c r="B302" s="8" t="s">
        <v>886</v>
      </c>
      <c r="C302" s="8" t="s">
        <v>2209</v>
      </c>
      <c r="D302" s="12" t="s">
        <v>171</v>
      </c>
      <c r="E302" s="8" t="s">
        <v>2221</v>
      </c>
      <c r="F302" s="8" t="s">
        <v>2661</v>
      </c>
      <c r="G302" s="8" t="s">
        <v>2223</v>
      </c>
      <c r="H302" s="12" t="s">
        <v>194</v>
      </c>
      <c r="I302" s="8" t="s">
        <v>2213</v>
      </c>
      <c r="J302" s="8" t="s">
        <v>2662</v>
      </c>
      <c r="K302" s="8" t="s">
        <v>2215</v>
      </c>
    </row>
    <row r="303" customFormat="false" ht="24.75" hidden="false" customHeight="true" outlineLevel="0" collapsed="false">
      <c r="A303" s="12" t="s">
        <v>884</v>
      </c>
      <c r="B303" s="8" t="s">
        <v>886</v>
      </c>
      <c r="C303" s="8" t="s">
        <v>2209</v>
      </c>
      <c r="D303" s="12" t="s">
        <v>176</v>
      </c>
      <c r="E303" s="8" t="s">
        <v>2481</v>
      </c>
      <c r="F303" s="8" t="s">
        <v>2663</v>
      </c>
      <c r="G303" s="8" t="s">
        <v>2483</v>
      </c>
      <c r="H303" s="12" t="s">
        <v>194</v>
      </c>
      <c r="I303" s="8" t="s">
        <v>2213</v>
      </c>
      <c r="J303" s="8" t="s">
        <v>2664</v>
      </c>
      <c r="K303" s="8" t="s">
        <v>2485</v>
      </c>
    </row>
    <row r="304" customFormat="false" ht="24.75" hidden="false" customHeight="true" outlineLevel="0" collapsed="false">
      <c r="A304" s="12" t="s">
        <v>884</v>
      </c>
      <c r="B304" s="8" t="s">
        <v>886</v>
      </c>
      <c r="C304" s="8" t="s">
        <v>2209</v>
      </c>
      <c r="D304" s="12" t="s">
        <v>176</v>
      </c>
      <c r="E304" s="8" t="s">
        <v>2481</v>
      </c>
      <c r="F304" s="8" t="s">
        <v>2665</v>
      </c>
      <c r="G304" s="8" t="s">
        <v>2483</v>
      </c>
      <c r="H304" s="12" t="s">
        <v>194</v>
      </c>
      <c r="I304" s="8" t="s">
        <v>2213</v>
      </c>
      <c r="J304" s="8" t="s">
        <v>2666</v>
      </c>
      <c r="K304" s="8" t="s">
        <v>2485</v>
      </c>
    </row>
    <row r="305" customFormat="false" ht="24.75" hidden="false" customHeight="true" outlineLevel="0" collapsed="false">
      <c r="A305" s="12" t="s">
        <v>890</v>
      </c>
      <c r="B305" s="8" t="s">
        <v>891</v>
      </c>
      <c r="C305" s="8" t="s">
        <v>2209</v>
      </c>
      <c r="D305" s="12" t="s">
        <v>174</v>
      </c>
      <c r="E305" s="8" t="s">
        <v>2216</v>
      </c>
      <c r="F305" s="8" t="s">
        <v>2405</v>
      </c>
      <c r="G305" s="8" t="s">
        <v>2218</v>
      </c>
      <c r="H305" s="12" t="s">
        <v>195</v>
      </c>
      <c r="I305" s="8" t="s">
        <v>2213</v>
      </c>
      <c r="J305" s="8" t="s">
        <v>2667</v>
      </c>
      <c r="K305" s="8" t="s">
        <v>2215</v>
      </c>
    </row>
    <row r="306" customFormat="false" ht="24.75" hidden="false" customHeight="true" outlineLevel="0" collapsed="false">
      <c r="A306" s="12" t="s">
        <v>890</v>
      </c>
      <c r="B306" s="8" t="s">
        <v>891</v>
      </c>
      <c r="C306" s="8" t="s">
        <v>2209</v>
      </c>
      <c r="D306" s="12" t="s">
        <v>174</v>
      </c>
      <c r="E306" s="8" t="s">
        <v>2216</v>
      </c>
      <c r="F306" s="8" t="s">
        <v>2405</v>
      </c>
      <c r="G306" s="8" t="s">
        <v>2218</v>
      </c>
      <c r="H306" s="12" t="s">
        <v>195</v>
      </c>
      <c r="I306" s="8" t="s">
        <v>2213</v>
      </c>
      <c r="J306" s="8" t="s">
        <v>2668</v>
      </c>
      <c r="K306" s="8" t="s">
        <v>2215</v>
      </c>
    </row>
    <row r="307" customFormat="false" ht="24.75" hidden="false" customHeight="true" outlineLevel="0" collapsed="false">
      <c r="A307" s="12" t="s">
        <v>890</v>
      </c>
      <c r="B307" s="8" t="s">
        <v>891</v>
      </c>
      <c r="C307" s="8" t="s">
        <v>2209</v>
      </c>
      <c r="D307" s="12" t="s">
        <v>174</v>
      </c>
      <c r="E307" s="8" t="s">
        <v>2216</v>
      </c>
      <c r="F307" s="8" t="s">
        <v>2405</v>
      </c>
      <c r="G307" s="8" t="s">
        <v>2218</v>
      </c>
      <c r="H307" s="12" t="s">
        <v>195</v>
      </c>
      <c r="I307" s="8" t="s">
        <v>2213</v>
      </c>
      <c r="J307" s="8" t="s">
        <v>2669</v>
      </c>
      <c r="K307" s="8" t="s">
        <v>2215</v>
      </c>
    </row>
    <row r="308" customFormat="false" ht="24.75" hidden="false" customHeight="true" outlineLevel="0" collapsed="false">
      <c r="A308" s="12" t="s">
        <v>894</v>
      </c>
      <c r="B308" s="8" t="s">
        <v>895</v>
      </c>
      <c r="C308" s="8" t="s">
        <v>2209</v>
      </c>
      <c r="D308" s="12" t="s">
        <v>176</v>
      </c>
      <c r="E308" s="8" t="s">
        <v>2481</v>
      </c>
      <c r="F308" s="8" t="s">
        <v>2670</v>
      </c>
      <c r="G308" s="8" t="s">
        <v>2483</v>
      </c>
      <c r="H308" s="12" t="s">
        <v>194</v>
      </c>
      <c r="I308" s="8" t="s">
        <v>2213</v>
      </c>
      <c r="J308" s="8" t="s">
        <v>2671</v>
      </c>
      <c r="K308" s="8" t="s">
        <v>2485</v>
      </c>
    </row>
    <row r="309" customFormat="false" ht="24.75" hidden="false" customHeight="true" outlineLevel="0" collapsed="false">
      <c r="A309" s="12" t="s">
        <v>894</v>
      </c>
      <c r="B309" s="8" t="s">
        <v>895</v>
      </c>
      <c r="C309" s="8" t="s">
        <v>2209</v>
      </c>
      <c r="D309" s="12" t="s">
        <v>176</v>
      </c>
      <c r="E309" s="8" t="s">
        <v>2481</v>
      </c>
      <c r="F309" s="8" t="s">
        <v>2672</v>
      </c>
      <c r="G309" s="8" t="s">
        <v>2483</v>
      </c>
      <c r="H309" s="12" t="s">
        <v>194</v>
      </c>
      <c r="I309" s="8" t="s">
        <v>2213</v>
      </c>
      <c r="J309" s="8" t="s">
        <v>2673</v>
      </c>
      <c r="K309" s="8" t="s">
        <v>2485</v>
      </c>
    </row>
    <row r="310" customFormat="false" ht="24.75" hidden="false" customHeight="true" outlineLevel="0" collapsed="false">
      <c r="A310" s="12" t="s">
        <v>894</v>
      </c>
      <c r="B310" s="8" t="s">
        <v>895</v>
      </c>
      <c r="C310" s="8" t="s">
        <v>2209</v>
      </c>
      <c r="D310" s="12" t="s">
        <v>176</v>
      </c>
      <c r="E310" s="8" t="s">
        <v>2481</v>
      </c>
      <c r="F310" s="8" t="s">
        <v>2674</v>
      </c>
      <c r="G310" s="8" t="s">
        <v>2483</v>
      </c>
      <c r="H310" s="12" t="s">
        <v>194</v>
      </c>
      <c r="I310" s="8" t="s">
        <v>2213</v>
      </c>
      <c r="J310" s="8" t="s">
        <v>2675</v>
      </c>
      <c r="K310" s="8" t="s">
        <v>2485</v>
      </c>
    </row>
    <row r="311" customFormat="false" ht="24.75" hidden="false" customHeight="true" outlineLevel="0" collapsed="false">
      <c r="A311" s="12" t="s">
        <v>899</v>
      </c>
      <c r="B311" s="8" t="s">
        <v>900</v>
      </c>
      <c r="C311" s="8" t="s">
        <v>2209</v>
      </c>
      <c r="D311" s="12" t="s">
        <v>176</v>
      </c>
      <c r="E311" s="8" t="s">
        <v>2481</v>
      </c>
      <c r="F311" s="8" t="s">
        <v>2676</v>
      </c>
      <c r="G311" s="8" t="s">
        <v>2483</v>
      </c>
      <c r="H311" s="12" t="s">
        <v>194</v>
      </c>
      <c r="I311" s="8" t="s">
        <v>2213</v>
      </c>
      <c r="J311" s="8" t="s">
        <v>2677</v>
      </c>
      <c r="K311" s="8" t="s">
        <v>2485</v>
      </c>
    </row>
    <row r="312" customFormat="false" ht="24.75" hidden="false" customHeight="true" outlineLevel="0" collapsed="false">
      <c r="A312" s="12" t="s">
        <v>899</v>
      </c>
      <c r="B312" s="8" t="s">
        <v>900</v>
      </c>
      <c r="C312" s="8" t="s">
        <v>2209</v>
      </c>
      <c r="D312" s="12" t="s">
        <v>176</v>
      </c>
      <c r="E312" s="8" t="s">
        <v>2481</v>
      </c>
      <c r="F312" s="8" t="s">
        <v>2678</v>
      </c>
      <c r="G312" s="8" t="s">
        <v>2483</v>
      </c>
      <c r="H312" s="12" t="s">
        <v>194</v>
      </c>
      <c r="I312" s="8" t="s">
        <v>2213</v>
      </c>
      <c r="J312" s="8" t="s">
        <v>2679</v>
      </c>
      <c r="K312" s="8" t="s">
        <v>2485</v>
      </c>
    </row>
    <row r="313" customFormat="false" ht="24.75" hidden="false" customHeight="true" outlineLevel="0" collapsed="false">
      <c r="A313" s="12" t="s">
        <v>899</v>
      </c>
      <c r="B313" s="8" t="s">
        <v>900</v>
      </c>
      <c r="C313" s="8" t="s">
        <v>2209</v>
      </c>
      <c r="D313" s="12" t="s">
        <v>176</v>
      </c>
      <c r="E313" s="8" t="s">
        <v>2481</v>
      </c>
      <c r="F313" s="8" t="s">
        <v>2680</v>
      </c>
      <c r="G313" s="8" t="s">
        <v>2483</v>
      </c>
      <c r="H313" s="12" t="s">
        <v>194</v>
      </c>
      <c r="I313" s="8" t="s">
        <v>2213</v>
      </c>
      <c r="J313" s="8" t="s">
        <v>2681</v>
      </c>
      <c r="K313" s="8" t="s">
        <v>2485</v>
      </c>
    </row>
    <row r="314" customFormat="false" ht="14.25" hidden="false" customHeight="false" outlineLevel="0" collapsed="false">
      <c r="A314" s="12" t="s">
        <v>904</v>
      </c>
      <c r="B314" s="8" t="s">
        <v>905</v>
      </c>
      <c r="C314" s="8" t="s">
        <v>2209</v>
      </c>
      <c r="D314" s="12" t="s">
        <v>171</v>
      </c>
      <c r="E314" s="8" t="s">
        <v>2221</v>
      </c>
      <c r="F314" s="8" t="s">
        <v>2682</v>
      </c>
      <c r="G314" s="8" t="s">
        <v>2223</v>
      </c>
      <c r="H314" s="12" t="s">
        <v>194</v>
      </c>
      <c r="I314" s="8" t="s">
        <v>2213</v>
      </c>
      <c r="J314" s="8" t="s">
        <v>2683</v>
      </c>
      <c r="K314" s="8" t="s">
        <v>2215</v>
      </c>
    </row>
    <row r="315" customFormat="false" ht="14.25" hidden="false" customHeight="false" outlineLevel="0" collapsed="false">
      <c r="A315" s="12" t="s">
        <v>910</v>
      </c>
      <c r="B315" s="8" t="s">
        <v>911</v>
      </c>
      <c r="C315" s="8" t="s">
        <v>2209</v>
      </c>
      <c r="D315" s="12" t="s">
        <v>171</v>
      </c>
      <c r="E315" s="8" t="s">
        <v>2221</v>
      </c>
      <c r="F315" s="8" t="s">
        <v>2684</v>
      </c>
      <c r="G315" s="8" t="s">
        <v>2223</v>
      </c>
      <c r="H315" s="12" t="s">
        <v>194</v>
      </c>
      <c r="I315" s="8" t="s">
        <v>2213</v>
      </c>
      <c r="J315" s="8" t="s">
        <v>2685</v>
      </c>
      <c r="K315" s="8" t="s">
        <v>2215</v>
      </c>
    </row>
    <row r="316" customFormat="false" ht="24.75" hidden="false" customHeight="true" outlineLevel="0" collapsed="false">
      <c r="A316" s="12" t="s">
        <v>910</v>
      </c>
      <c r="B316" s="8" t="s">
        <v>911</v>
      </c>
      <c r="C316" s="8" t="s">
        <v>2209</v>
      </c>
      <c r="D316" s="12" t="s">
        <v>172</v>
      </c>
      <c r="E316" s="8" t="s">
        <v>2210</v>
      </c>
      <c r="F316" s="8" t="s">
        <v>2414</v>
      </c>
      <c r="G316" s="8" t="s">
        <v>2212</v>
      </c>
      <c r="H316" s="12" t="s">
        <v>194</v>
      </c>
      <c r="I316" s="8" t="s">
        <v>2213</v>
      </c>
      <c r="J316" s="8" t="s">
        <v>2686</v>
      </c>
      <c r="K316" s="8" t="s">
        <v>2215</v>
      </c>
    </row>
    <row r="317" customFormat="false" ht="24.75" hidden="false" customHeight="true" outlineLevel="0" collapsed="false">
      <c r="A317" s="12" t="s">
        <v>910</v>
      </c>
      <c r="B317" s="8" t="s">
        <v>911</v>
      </c>
      <c r="C317" s="8" t="s">
        <v>2209</v>
      </c>
      <c r="D317" s="12" t="s">
        <v>176</v>
      </c>
      <c r="E317" s="8" t="s">
        <v>2481</v>
      </c>
      <c r="F317" s="8" t="s">
        <v>2687</v>
      </c>
      <c r="G317" s="8" t="s">
        <v>2483</v>
      </c>
      <c r="H317" s="12" t="s">
        <v>194</v>
      </c>
      <c r="I317" s="8" t="s">
        <v>2213</v>
      </c>
      <c r="J317" s="8" t="s">
        <v>2688</v>
      </c>
      <c r="K317" s="8" t="s">
        <v>2485</v>
      </c>
    </row>
    <row r="318" customFormat="false" ht="24.75" hidden="false" customHeight="true" outlineLevel="0" collapsed="false">
      <c r="A318" s="12" t="s">
        <v>910</v>
      </c>
      <c r="B318" s="8" t="s">
        <v>911</v>
      </c>
      <c r="C318" s="8" t="s">
        <v>2209</v>
      </c>
      <c r="D318" s="12" t="s">
        <v>176</v>
      </c>
      <c r="E318" s="8" t="s">
        <v>2481</v>
      </c>
      <c r="F318" s="8" t="s">
        <v>2689</v>
      </c>
      <c r="G318" s="8" t="s">
        <v>2483</v>
      </c>
      <c r="H318" s="12" t="s">
        <v>194</v>
      </c>
      <c r="I318" s="8" t="s">
        <v>2213</v>
      </c>
      <c r="J318" s="8" t="s">
        <v>2690</v>
      </c>
      <c r="K318" s="8" t="s">
        <v>2485</v>
      </c>
    </row>
    <row r="319" customFormat="false" ht="24.75" hidden="false" customHeight="true" outlineLevel="0" collapsed="false">
      <c r="A319" s="12" t="s">
        <v>916</v>
      </c>
      <c r="B319" s="8" t="s">
        <v>919</v>
      </c>
      <c r="C319" s="8" t="s">
        <v>2209</v>
      </c>
      <c r="D319" s="12" t="s">
        <v>171</v>
      </c>
      <c r="E319" s="8" t="s">
        <v>2221</v>
      </c>
      <c r="F319" s="8" t="s">
        <v>2691</v>
      </c>
      <c r="G319" s="8" t="s">
        <v>2223</v>
      </c>
      <c r="H319" s="12" t="s">
        <v>194</v>
      </c>
      <c r="I319" s="8" t="s">
        <v>2213</v>
      </c>
      <c r="J319" s="8" t="s">
        <v>2692</v>
      </c>
      <c r="K319" s="8" t="s">
        <v>2215</v>
      </c>
    </row>
    <row r="320" customFormat="false" ht="24.75" hidden="false" customHeight="true" outlineLevel="0" collapsed="false">
      <c r="A320" s="12" t="s">
        <v>916</v>
      </c>
      <c r="B320" s="8" t="s">
        <v>919</v>
      </c>
      <c r="C320" s="8" t="s">
        <v>2209</v>
      </c>
      <c r="D320" s="12" t="s">
        <v>171</v>
      </c>
      <c r="E320" s="8" t="s">
        <v>2221</v>
      </c>
      <c r="F320" s="8" t="s">
        <v>2693</v>
      </c>
      <c r="G320" s="8" t="s">
        <v>2223</v>
      </c>
      <c r="H320" s="12" t="s">
        <v>194</v>
      </c>
      <c r="I320" s="8" t="s">
        <v>2213</v>
      </c>
      <c r="J320" s="8" t="s">
        <v>2694</v>
      </c>
      <c r="K320" s="8" t="s">
        <v>2215</v>
      </c>
    </row>
    <row r="321" customFormat="false" ht="24.75" hidden="false" customHeight="true" outlineLevel="0" collapsed="false">
      <c r="A321" s="12" t="s">
        <v>916</v>
      </c>
      <c r="B321" s="8" t="s">
        <v>919</v>
      </c>
      <c r="C321" s="8" t="s">
        <v>2209</v>
      </c>
      <c r="D321" s="12" t="s">
        <v>176</v>
      </c>
      <c r="E321" s="8" t="s">
        <v>2481</v>
      </c>
      <c r="F321" s="8" t="s">
        <v>2695</v>
      </c>
      <c r="G321" s="8" t="s">
        <v>2483</v>
      </c>
      <c r="H321" s="12" t="s">
        <v>194</v>
      </c>
      <c r="I321" s="8" t="s">
        <v>2213</v>
      </c>
      <c r="J321" s="8" t="s">
        <v>2696</v>
      </c>
      <c r="K321" s="8" t="s">
        <v>2485</v>
      </c>
    </row>
    <row r="322" customFormat="false" ht="24.75" hidden="false" customHeight="true" outlineLevel="0" collapsed="false">
      <c r="A322" s="12" t="s">
        <v>916</v>
      </c>
      <c r="B322" s="8" t="s">
        <v>919</v>
      </c>
      <c r="C322" s="8" t="s">
        <v>2209</v>
      </c>
      <c r="D322" s="12" t="s">
        <v>176</v>
      </c>
      <c r="E322" s="8" t="s">
        <v>2481</v>
      </c>
      <c r="F322" s="8" t="s">
        <v>2697</v>
      </c>
      <c r="G322" s="8" t="s">
        <v>2483</v>
      </c>
      <c r="H322" s="12" t="s">
        <v>194</v>
      </c>
      <c r="I322" s="8" t="s">
        <v>2213</v>
      </c>
      <c r="J322" s="8" t="s">
        <v>2698</v>
      </c>
      <c r="K322" s="8" t="s">
        <v>2485</v>
      </c>
    </row>
    <row r="323" customFormat="false" ht="14.25" hidden="false" customHeight="false" outlineLevel="0" collapsed="false">
      <c r="A323" s="12" t="s">
        <v>924</v>
      </c>
      <c r="B323" s="8" t="s">
        <v>925</v>
      </c>
      <c r="C323" s="8" t="s">
        <v>2209</v>
      </c>
      <c r="D323" s="12" t="s">
        <v>171</v>
      </c>
      <c r="E323" s="8" t="s">
        <v>2221</v>
      </c>
      <c r="F323" s="8" t="s">
        <v>2699</v>
      </c>
      <c r="G323" s="8" t="s">
        <v>2223</v>
      </c>
      <c r="H323" s="12" t="s">
        <v>194</v>
      </c>
      <c r="I323" s="8" t="s">
        <v>2213</v>
      </c>
      <c r="J323" s="8" t="s">
        <v>2700</v>
      </c>
      <c r="K323" s="8" t="s">
        <v>2215</v>
      </c>
    </row>
    <row r="324" customFormat="false" ht="14.25" hidden="false" customHeight="false" outlineLevel="0" collapsed="false">
      <c r="A324" s="12" t="s">
        <v>929</v>
      </c>
      <c r="B324" s="8" t="s">
        <v>930</v>
      </c>
      <c r="C324" s="8" t="s">
        <v>2209</v>
      </c>
      <c r="D324" s="12" t="s">
        <v>171</v>
      </c>
      <c r="E324" s="8" t="s">
        <v>2221</v>
      </c>
      <c r="F324" s="8" t="s">
        <v>2701</v>
      </c>
      <c r="G324" s="8" t="s">
        <v>2223</v>
      </c>
      <c r="H324" s="12" t="s">
        <v>194</v>
      </c>
      <c r="I324" s="8" t="s">
        <v>2213</v>
      </c>
      <c r="J324" s="8" t="s">
        <v>2702</v>
      </c>
      <c r="K324" s="8" t="s">
        <v>2215</v>
      </c>
    </row>
    <row r="325" customFormat="false" ht="24.75" hidden="false" customHeight="true" outlineLevel="0" collapsed="false">
      <c r="A325" s="12" t="s">
        <v>929</v>
      </c>
      <c r="B325" s="8" t="s">
        <v>930</v>
      </c>
      <c r="C325" s="8" t="s">
        <v>2209</v>
      </c>
      <c r="D325" s="12" t="s">
        <v>1982</v>
      </c>
      <c r="E325" s="8" t="s">
        <v>2703</v>
      </c>
      <c r="F325" s="8" t="s">
        <v>2704</v>
      </c>
      <c r="G325" s="8" t="s">
        <v>2705</v>
      </c>
      <c r="H325" s="12" t="s">
        <v>195</v>
      </c>
      <c r="I325" s="8" t="s">
        <v>2706</v>
      </c>
      <c r="J325" s="8" t="s">
        <v>2707</v>
      </c>
      <c r="K325" s="8" t="s">
        <v>2215</v>
      </c>
    </row>
    <row r="326" customFormat="false" ht="14.25" hidden="false" customHeight="false" outlineLevel="0" collapsed="false">
      <c r="A326" s="12" t="s">
        <v>936</v>
      </c>
      <c r="B326" s="8" t="s">
        <v>939</v>
      </c>
      <c r="C326" s="8" t="s">
        <v>2209</v>
      </c>
      <c r="D326" s="12" t="s">
        <v>171</v>
      </c>
      <c r="E326" s="8" t="s">
        <v>2221</v>
      </c>
      <c r="F326" s="8" t="s">
        <v>2708</v>
      </c>
      <c r="G326" s="8" t="s">
        <v>2223</v>
      </c>
      <c r="H326" s="12" t="s">
        <v>194</v>
      </c>
      <c r="I326" s="8" t="s">
        <v>2213</v>
      </c>
      <c r="J326" s="8" t="s">
        <v>2709</v>
      </c>
      <c r="K326" s="8" t="s">
        <v>2215</v>
      </c>
    </row>
    <row r="327" customFormat="false" ht="14.25" hidden="false" customHeight="false" outlineLevel="0" collapsed="false">
      <c r="A327" s="12" t="s">
        <v>936</v>
      </c>
      <c r="B327" s="8" t="s">
        <v>939</v>
      </c>
      <c r="C327" s="8" t="s">
        <v>2209</v>
      </c>
      <c r="D327" s="12" t="s">
        <v>171</v>
      </c>
      <c r="E327" s="8" t="s">
        <v>2221</v>
      </c>
      <c r="F327" s="8" t="s">
        <v>2710</v>
      </c>
      <c r="G327" s="8" t="s">
        <v>2223</v>
      </c>
      <c r="H327" s="12" t="s">
        <v>194</v>
      </c>
      <c r="I327" s="8" t="s">
        <v>2213</v>
      </c>
      <c r="J327" s="8" t="s">
        <v>2711</v>
      </c>
      <c r="K327" s="8" t="s">
        <v>2215</v>
      </c>
    </row>
    <row r="328" customFormat="false" ht="14.25" hidden="false" customHeight="false" outlineLevel="0" collapsed="false">
      <c r="A328" s="12" t="s">
        <v>936</v>
      </c>
      <c r="B328" s="8" t="s">
        <v>939</v>
      </c>
      <c r="C328" s="8" t="s">
        <v>2209</v>
      </c>
      <c r="D328" s="12" t="s">
        <v>171</v>
      </c>
      <c r="E328" s="8" t="s">
        <v>2221</v>
      </c>
      <c r="F328" s="8" t="s">
        <v>2712</v>
      </c>
      <c r="G328" s="8" t="s">
        <v>2223</v>
      </c>
      <c r="H328" s="12" t="s">
        <v>194</v>
      </c>
      <c r="I328" s="8" t="s">
        <v>2213</v>
      </c>
      <c r="J328" s="8" t="s">
        <v>2713</v>
      </c>
      <c r="K328" s="8" t="s">
        <v>2215</v>
      </c>
    </row>
    <row r="329" customFormat="false" ht="37.5" hidden="false" customHeight="true" outlineLevel="0" collapsed="false">
      <c r="A329" s="12" t="s">
        <v>936</v>
      </c>
      <c r="B329" s="8" t="s">
        <v>939</v>
      </c>
      <c r="C329" s="8" t="s">
        <v>2209</v>
      </c>
      <c r="D329" s="12" t="s">
        <v>172</v>
      </c>
      <c r="E329" s="8" t="s">
        <v>2210</v>
      </c>
      <c r="F329" s="8" t="s">
        <v>2426</v>
      </c>
      <c r="G329" s="8" t="s">
        <v>2212</v>
      </c>
      <c r="H329" s="12" t="s">
        <v>194</v>
      </c>
      <c r="I329" s="8" t="s">
        <v>2213</v>
      </c>
      <c r="J329" s="8" t="s">
        <v>2461</v>
      </c>
      <c r="K329" s="8" t="s">
        <v>2215</v>
      </c>
    </row>
    <row r="330" customFormat="false" ht="24.75" hidden="false" customHeight="true" outlineLevel="0" collapsed="false">
      <c r="A330" s="12" t="s">
        <v>936</v>
      </c>
      <c r="B330" s="8" t="s">
        <v>939</v>
      </c>
      <c r="C330" s="8" t="s">
        <v>2209</v>
      </c>
      <c r="D330" s="12" t="s">
        <v>174</v>
      </c>
      <c r="E330" s="8" t="s">
        <v>2216</v>
      </c>
      <c r="F330" s="8" t="s">
        <v>2405</v>
      </c>
      <c r="G330" s="8" t="s">
        <v>2218</v>
      </c>
      <c r="H330" s="12" t="s">
        <v>195</v>
      </c>
      <c r="I330" s="8" t="s">
        <v>2213</v>
      </c>
      <c r="J330" s="8" t="s">
        <v>2714</v>
      </c>
      <c r="K330" s="8" t="s">
        <v>2215</v>
      </c>
    </row>
    <row r="331" customFormat="false" ht="24.75" hidden="false" customHeight="true" outlineLevel="0" collapsed="false">
      <c r="A331" s="12" t="s">
        <v>945</v>
      </c>
      <c r="B331" s="8" t="s">
        <v>947</v>
      </c>
      <c r="C331" s="8" t="s">
        <v>2209</v>
      </c>
      <c r="D331" s="12" t="s">
        <v>174</v>
      </c>
      <c r="E331" s="8" t="s">
        <v>2216</v>
      </c>
      <c r="F331" s="8" t="s">
        <v>2715</v>
      </c>
      <c r="G331" s="8" t="s">
        <v>2218</v>
      </c>
      <c r="H331" s="12" t="s">
        <v>195</v>
      </c>
      <c r="I331" s="8" t="s">
        <v>2213</v>
      </c>
      <c r="J331" s="8" t="s">
        <v>2716</v>
      </c>
      <c r="K331" s="8" t="s">
        <v>2215</v>
      </c>
    </row>
    <row r="332" customFormat="false" ht="24.75" hidden="false" customHeight="true" outlineLevel="0" collapsed="false">
      <c r="A332" s="12" t="s">
        <v>945</v>
      </c>
      <c r="B332" s="8" t="s">
        <v>947</v>
      </c>
      <c r="C332" s="8" t="s">
        <v>2209</v>
      </c>
      <c r="D332" s="12" t="s">
        <v>174</v>
      </c>
      <c r="E332" s="8" t="s">
        <v>2216</v>
      </c>
      <c r="F332" s="8" t="s">
        <v>2715</v>
      </c>
      <c r="G332" s="8" t="s">
        <v>2218</v>
      </c>
      <c r="H332" s="12" t="s">
        <v>195</v>
      </c>
      <c r="I332" s="8" t="s">
        <v>2213</v>
      </c>
      <c r="J332" s="8" t="s">
        <v>2717</v>
      </c>
      <c r="K332" s="8" t="s">
        <v>2215</v>
      </c>
    </row>
    <row r="333" customFormat="false" ht="24.75" hidden="false" customHeight="true" outlineLevel="0" collapsed="false">
      <c r="A333" s="12" t="s">
        <v>945</v>
      </c>
      <c r="B333" s="8" t="s">
        <v>947</v>
      </c>
      <c r="C333" s="8" t="s">
        <v>2209</v>
      </c>
      <c r="D333" s="12" t="s">
        <v>174</v>
      </c>
      <c r="E333" s="8" t="s">
        <v>2216</v>
      </c>
      <c r="F333" s="8" t="s">
        <v>2715</v>
      </c>
      <c r="G333" s="8" t="s">
        <v>2218</v>
      </c>
      <c r="H333" s="12" t="s">
        <v>195</v>
      </c>
      <c r="I333" s="8" t="s">
        <v>2213</v>
      </c>
      <c r="J333" s="8" t="s">
        <v>2718</v>
      </c>
      <c r="K333" s="8" t="s">
        <v>2215</v>
      </c>
    </row>
    <row r="334" customFormat="false" ht="24.75" hidden="false" customHeight="true" outlineLevel="0" collapsed="false">
      <c r="A334" s="12" t="s">
        <v>952</v>
      </c>
      <c r="B334" s="8" t="s">
        <v>953</v>
      </c>
      <c r="C334" s="8" t="s">
        <v>2209</v>
      </c>
      <c r="D334" s="12" t="s">
        <v>171</v>
      </c>
      <c r="E334" s="8" t="s">
        <v>2221</v>
      </c>
      <c r="F334" s="8" t="s">
        <v>2719</v>
      </c>
      <c r="G334" s="8" t="s">
        <v>2223</v>
      </c>
      <c r="H334" s="12" t="s">
        <v>194</v>
      </c>
      <c r="I334" s="8" t="s">
        <v>2213</v>
      </c>
      <c r="J334" s="8" t="s">
        <v>2720</v>
      </c>
      <c r="K334" s="8" t="s">
        <v>2215</v>
      </c>
    </row>
    <row r="335" customFormat="false" ht="37.5" hidden="false" customHeight="true" outlineLevel="0" collapsed="false">
      <c r="A335" s="12" t="s">
        <v>952</v>
      </c>
      <c r="B335" s="8" t="s">
        <v>953</v>
      </c>
      <c r="C335" s="8" t="s">
        <v>2209</v>
      </c>
      <c r="D335" s="12" t="s">
        <v>172</v>
      </c>
      <c r="E335" s="8" t="s">
        <v>2210</v>
      </c>
      <c r="F335" s="8" t="s">
        <v>2414</v>
      </c>
      <c r="G335" s="8" t="s">
        <v>2212</v>
      </c>
      <c r="H335" s="12" t="s">
        <v>194</v>
      </c>
      <c r="I335" s="8" t="s">
        <v>2213</v>
      </c>
      <c r="J335" s="8" t="s">
        <v>2721</v>
      </c>
      <c r="K335" s="8" t="s">
        <v>2215</v>
      </c>
    </row>
    <row r="336" customFormat="false" ht="24.75" hidden="false" customHeight="true" outlineLevel="0" collapsed="false">
      <c r="A336" s="12" t="s">
        <v>957</v>
      </c>
      <c r="B336" s="8" t="s">
        <v>958</v>
      </c>
      <c r="C336" s="8" t="s">
        <v>2209</v>
      </c>
      <c r="D336" s="12" t="s">
        <v>171</v>
      </c>
      <c r="E336" s="8" t="s">
        <v>2221</v>
      </c>
      <c r="F336" s="8" t="s">
        <v>2722</v>
      </c>
      <c r="G336" s="8" t="s">
        <v>2223</v>
      </c>
      <c r="H336" s="12" t="s">
        <v>194</v>
      </c>
      <c r="I336" s="8" t="s">
        <v>2213</v>
      </c>
      <c r="J336" s="8" t="s">
        <v>2723</v>
      </c>
      <c r="K336" s="8" t="s">
        <v>2215</v>
      </c>
    </row>
    <row r="337" customFormat="false" ht="24.75" hidden="false" customHeight="true" outlineLevel="0" collapsed="false">
      <c r="A337" s="12" t="s">
        <v>961</v>
      </c>
      <c r="B337" s="8" t="s">
        <v>962</v>
      </c>
      <c r="C337" s="8" t="s">
        <v>2209</v>
      </c>
      <c r="D337" s="12" t="s">
        <v>171</v>
      </c>
      <c r="E337" s="8" t="s">
        <v>2221</v>
      </c>
      <c r="F337" s="8" t="s">
        <v>2684</v>
      </c>
      <c r="G337" s="8" t="s">
        <v>2223</v>
      </c>
      <c r="H337" s="12" t="s">
        <v>194</v>
      </c>
      <c r="I337" s="8" t="s">
        <v>2213</v>
      </c>
      <c r="J337" s="8" t="s">
        <v>2685</v>
      </c>
      <c r="K337" s="8" t="s">
        <v>2215</v>
      </c>
    </row>
    <row r="338" customFormat="false" ht="24.75" hidden="false" customHeight="true" outlineLevel="0" collapsed="false">
      <c r="A338" s="12" t="s">
        <v>966</v>
      </c>
      <c r="B338" s="8" t="s">
        <v>967</v>
      </c>
      <c r="C338" s="8" t="s">
        <v>2209</v>
      </c>
      <c r="D338" s="12" t="s">
        <v>171</v>
      </c>
      <c r="E338" s="8" t="s">
        <v>2221</v>
      </c>
      <c r="F338" s="8" t="s">
        <v>2225</v>
      </c>
      <c r="G338" s="8" t="s">
        <v>2223</v>
      </c>
      <c r="H338" s="12" t="s">
        <v>194</v>
      </c>
      <c r="I338" s="8" t="s">
        <v>2213</v>
      </c>
      <c r="J338" s="8" t="s">
        <v>2226</v>
      </c>
      <c r="K338" s="8" t="s">
        <v>2215</v>
      </c>
    </row>
    <row r="339" customFormat="false" ht="24.75" hidden="false" customHeight="true" outlineLevel="0" collapsed="false">
      <c r="A339" s="12" t="s">
        <v>966</v>
      </c>
      <c r="B339" s="8" t="s">
        <v>967</v>
      </c>
      <c r="C339" s="8" t="s">
        <v>2209</v>
      </c>
      <c r="D339" s="12" t="s">
        <v>172</v>
      </c>
      <c r="E339" s="8" t="s">
        <v>2210</v>
      </c>
      <c r="F339" s="8" t="s">
        <v>2414</v>
      </c>
      <c r="G339" s="8" t="s">
        <v>2212</v>
      </c>
      <c r="H339" s="12" t="s">
        <v>194</v>
      </c>
      <c r="I339" s="8" t="s">
        <v>2213</v>
      </c>
      <c r="J339" s="8" t="s">
        <v>2724</v>
      </c>
      <c r="K339" s="8" t="s">
        <v>2215</v>
      </c>
    </row>
    <row r="340" customFormat="false" ht="24.75" hidden="false" customHeight="true" outlineLevel="0" collapsed="false">
      <c r="A340" s="12" t="s">
        <v>966</v>
      </c>
      <c r="B340" s="8" t="s">
        <v>967</v>
      </c>
      <c r="C340" s="8" t="s">
        <v>2209</v>
      </c>
      <c r="D340" s="12" t="s">
        <v>176</v>
      </c>
      <c r="E340" s="8" t="s">
        <v>2481</v>
      </c>
      <c r="F340" s="8" t="s">
        <v>2725</v>
      </c>
      <c r="G340" s="8" t="s">
        <v>2483</v>
      </c>
      <c r="H340" s="12" t="s">
        <v>194</v>
      </c>
      <c r="I340" s="8" t="s">
        <v>2213</v>
      </c>
      <c r="J340" s="8" t="s">
        <v>2726</v>
      </c>
      <c r="K340" s="8" t="s">
        <v>2485</v>
      </c>
    </row>
    <row r="341" customFormat="false" ht="14.25" hidden="false" customHeight="false" outlineLevel="0" collapsed="false">
      <c r="A341" s="12" t="s">
        <v>972</v>
      </c>
      <c r="B341" s="8" t="s">
        <v>975</v>
      </c>
      <c r="C341" s="8" t="s">
        <v>2209</v>
      </c>
      <c r="D341" s="12" t="s">
        <v>171</v>
      </c>
      <c r="E341" s="8" t="s">
        <v>2221</v>
      </c>
      <c r="F341" s="8" t="s">
        <v>2727</v>
      </c>
      <c r="G341" s="8" t="s">
        <v>2223</v>
      </c>
      <c r="H341" s="12" t="s">
        <v>194</v>
      </c>
      <c r="I341" s="8" t="s">
        <v>2213</v>
      </c>
      <c r="J341" s="8" t="s">
        <v>2728</v>
      </c>
      <c r="K341" s="8" t="s">
        <v>2215</v>
      </c>
    </row>
    <row r="342" customFormat="false" ht="24.75" hidden="false" customHeight="true" outlineLevel="0" collapsed="false">
      <c r="A342" s="12" t="s">
        <v>978</v>
      </c>
      <c r="B342" s="8" t="s">
        <v>979</v>
      </c>
      <c r="C342" s="8" t="s">
        <v>2209</v>
      </c>
      <c r="D342" s="12" t="s">
        <v>171</v>
      </c>
      <c r="E342" s="8" t="s">
        <v>2221</v>
      </c>
      <c r="F342" s="8" t="s">
        <v>2729</v>
      </c>
      <c r="G342" s="8" t="s">
        <v>2223</v>
      </c>
      <c r="H342" s="12" t="s">
        <v>194</v>
      </c>
      <c r="I342" s="8" t="s">
        <v>2213</v>
      </c>
      <c r="J342" s="8" t="s">
        <v>2730</v>
      </c>
      <c r="K342" s="8" t="s">
        <v>2215</v>
      </c>
    </row>
    <row r="343" customFormat="false" ht="24.75" hidden="false" customHeight="true" outlineLevel="0" collapsed="false">
      <c r="A343" s="12" t="s">
        <v>978</v>
      </c>
      <c r="B343" s="8" t="s">
        <v>979</v>
      </c>
      <c r="C343" s="8" t="s">
        <v>2209</v>
      </c>
      <c r="D343" s="12" t="s">
        <v>171</v>
      </c>
      <c r="E343" s="8" t="s">
        <v>2221</v>
      </c>
      <c r="F343" s="8" t="s">
        <v>2731</v>
      </c>
      <c r="G343" s="8" t="s">
        <v>2223</v>
      </c>
      <c r="H343" s="12" t="s">
        <v>194</v>
      </c>
      <c r="I343" s="8" t="s">
        <v>2213</v>
      </c>
      <c r="J343" s="8" t="s">
        <v>2732</v>
      </c>
      <c r="K343" s="8" t="s">
        <v>2215</v>
      </c>
    </row>
    <row r="344" customFormat="false" ht="24.75" hidden="false" customHeight="true" outlineLevel="0" collapsed="false">
      <c r="A344" s="12" t="s">
        <v>978</v>
      </c>
      <c r="B344" s="8" t="s">
        <v>979</v>
      </c>
      <c r="C344" s="8" t="s">
        <v>2209</v>
      </c>
      <c r="D344" s="12" t="s">
        <v>171</v>
      </c>
      <c r="E344" s="8" t="s">
        <v>2221</v>
      </c>
      <c r="F344" s="8" t="s">
        <v>2733</v>
      </c>
      <c r="G344" s="8" t="s">
        <v>2223</v>
      </c>
      <c r="H344" s="12" t="s">
        <v>194</v>
      </c>
      <c r="I344" s="8" t="s">
        <v>2213</v>
      </c>
      <c r="J344" s="8" t="s">
        <v>2734</v>
      </c>
      <c r="K344" s="8" t="s">
        <v>2215</v>
      </c>
    </row>
    <row r="345" customFormat="false" ht="14.25" hidden="false" customHeight="false" outlineLevel="0" collapsed="false">
      <c r="A345" s="12" t="s">
        <v>983</v>
      </c>
      <c r="B345" s="8" t="s">
        <v>984</v>
      </c>
      <c r="C345" s="8" t="s">
        <v>2209</v>
      </c>
      <c r="D345" s="12" t="s">
        <v>171</v>
      </c>
      <c r="E345" s="8" t="s">
        <v>2221</v>
      </c>
      <c r="F345" s="8" t="s">
        <v>2735</v>
      </c>
      <c r="G345" s="8" t="s">
        <v>2223</v>
      </c>
      <c r="H345" s="12" t="s">
        <v>194</v>
      </c>
      <c r="I345" s="8" t="s">
        <v>2213</v>
      </c>
      <c r="J345" s="8" t="s">
        <v>2736</v>
      </c>
      <c r="K345" s="8" t="s">
        <v>2215</v>
      </c>
    </row>
    <row r="346" customFormat="false" ht="14.25" hidden="false" customHeight="false" outlineLevel="0" collapsed="false">
      <c r="A346" s="12" t="s">
        <v>983</v>
      </c>
      <c r="B346" s="8" t="s">
        <v>984</v>
      </c>
      <c r="C346" s="8" t="s">
        <v>2209</v>
      </c>
      <c r="D346" s="12" t="s">
        <v>171</v>
      </c>
      <c r="E346" s="8" t="s">
        <v>2221</v>
      </c>
      <c r="F346" s="8" t="s">
        <v>2737</v>
      </c>
      <c r="G346" s="8" t="s">
        <v>2738</v>
      </c>
      <c r="H346" s="12" t="s">
        <v>232</v>
      </c>
      <c r="I346" s="8" t="s">
        <v>2213</v>
      </c>
      <c r="J346" s="8" t="s">
        <v>2739</v>
      </c>
      <c r="K346" s="8" t="s">
        <v>2215</v>
      </c>
    </row>
    <row r="347" customFormat="false" ht="14.25" hidden="false" customHeight="false" outlineLevel="0" collapsed="false">
      <c r="A347" s="12" t="s">
        <v>983</v>
      </c>
      <c r="B347" s="8" t="s">
        <v>984</v>
      </c>
      <c r="C347" s="8" t="s">
        <v>2209</v>
      </c>
      <c r="D347" s="12" t="s">
        <v>171</v>
      </c>
      <c r="E347" s="8" t="s">
        <v>2221</v>
      </c>
      <c r="F347" s="8" t="s">
        <v>2740</v>
      </c>
      <c r="G347" s="8" t="s">
        <v>2408</v>
      </c>
      <c r="H347" s="12" t="s">
        <v>194</v>
      </c>
      <c r="I347" s="8" t="s">
        <v>2213</v>
      </c>
      <c r="J347" s="8" t="s">
        <v>2741</v>
      </c>
      <c r="K347" s="8" t="s">
        <v>2215</v>
      </c>
    </row>
    <row r="348" customFormat="false" ht="14.25" hidden="false" customHeight="false" outlineLevel="0" collapsed="false">
      <c r="A348" s="12" t="s">
        <v>983</v>
      </c>
      <c r="B348" s="8" t="s">
        <v>984</v>
      </c>
      <c r="C348" s="8" t="s">
        <v>2209</v>
      </c>
      <c r="D348" s="12" t="s">
        <v>171</v>
      </c>
      <c r="E348" s="8" t="s">
        <v>2221</v>
      </c>
      <c r="F348" s="8" t="s">
        <v>2742</v>
      </c>
      <c r="G348" s="8" t="s">
        <v>2223</v>
      </c>
      <c r="H348" s="12" t="s">
        <v>194</v>
      </c>
      <c r="I348" s="8" t="s">
        <v>2213</v>
      </c>
      <c r="J348" s="8" t="s">
        <v>2743</v>
      </c>
      <c r="K348" s="8" t="s">
        <v>2215</v>
      </c>
    </row>
    <row r="349" customFormat="false" ht="24.75" hidden="false" customHeight="true" outlineLevel="0" collapsed="false">
      <c r="A349" s="12" t="s">
        <v>989</v>
      </c>
      <c r="B349" s="8" t="s">
        <v>990</v>
      </c>
      <c r="C349" s="8" t="s">
        <v>2209</v>
      </c>
      <c r="D349" s="12" t="s">
        <v>171</v>
      </c>
      <c r="E349" s="8" t="s">
        <v>2221</v>
      </c>
      <c r="F349" s="8" t="s">
        <v>2744</v>
      </c>
      <c r="G349" s="8" t="s">
        <v>2223</v>
      </c>
      <c r="H349" s="12" t="s">
        <v>194</v>
      </c>
      <c r="I349" s="8" t="s">
        <v>2213</v>
      </c>
      <c r="J349" s="8" t="s">
        <v>2745</v>
      </c>
      <c r="K349" s="8" t="s">
        <v>2215</v>
      </c>
    </row>
    <row r="350" customFormat="false" ht="24.75" hidden="false" customHeight="true" outlineLevel="0" collapsed="false">
      <c r="A350" s="12" t="s">
        <v>989</v>
      </c>
      <c r="B350" s="8" t="s">
        <v>990</v>
      </c>
      <c r="C350" s="8" t="s">
        <v>2209</v>
      </c>
      <c r="D350" s="12" t="s">
        <v>171</v>
      </c>
      <c r="E350" s="8" t="s">
        <v>2221</v>
      </c>
      <c r="F350" s="8" t="s">
        <v>2746</v>
      </c>
      <c r="G350" s="8" t="s">
        <v>2223</v>
      </c>
      <c r="H350" s="12" t="s">
        <v>194</v>
      </c>
      <c r="I350" s="8" t="s">
        <v>2213</v>
      </c>
      <c r="J350" s="8" t="s">
        <v>2747</v>
      </c>
      <c r="K350" s="8" t="s">
        <v>2215</v>
      </c>
    </row>
    <row r="351" customFormat="false" ht="24.75" hidden="false" customHeight="true" outlineLevel="0" collapsed="false">
      <c r="A351" s="12" t="s">
        <v>989</v>
      </c>
      <c r="B351" s="8" t="s">
        <v>990</v>
      </c>
      <c r="C351" s="8" t="s">
        <v>2209</v>
      </c>
      <c r="D351" s="12" t="s">
        <v>171</v>
      </c>
      <c r="E351" s="8" t="s">
        <v>2221</v>
      </c>
      <c r="F351" s="8" t="s">
        <v>2748</v>
      </c>
      <c r="G351" s="8" t="s">
        <v>2223</v>
      </c>
      <c r="H351" s="12" t="s">
        <v>194</v>
      </c>
      <c r="I351" s="8" t="s">
        <v>2213</v>
      </c>
      <c r="J351" s="8" t="s">
        <v>2749</v>
      </c>
      <c r="K351" s="8" t="s">
        <v>2215</v>
      </c>
    </row>
    <row r="352" customFormat="false" ht="24.75" hidden="false" customHeight="true" outlineLevel="0" collapsed="false">
      <c r="A352" s="12" t="s">
        <v>989</v>
      </c>
      <c r="B352" s="8" t="s">
        <v>990</v>
      </c>
      <c r="C352" s="8" t="s">
        <v>2209</v>
      </c>
      <c r="D352" s="12" t="s">
        <v>171</v>
      </c>
      <c r="E352" s="8" t="s">
        <v>2221</v>
      </c>
      <c r="F352" s="8" t="s">
        <v>2750</v>
      </c>
      <c r="G352" s="8" t="s">
        <v>2223</v>
      </c>
      <c r="H352" s="12" t="s">
        <v>194</v>
      </c>
      <c r="I352" s="8" t="s">
        <v>2213</v>
      </c>
      <c r="J352" s="8" t="s">
        <v>2732</v>
      </c>
      <c r="K352" s="8" t="s">
        <v>2215</v>
      </c>
    </row>
    <row r="353" customFormat="false" ht="24.75" hidden="false" customHeight="true" outlineLevel="0" collapsed="false">
      <c r="A353" s="12" t="s">
        <v>989</v>
      </c>
      <c r="B353" s="8" t="s">
        <v>990</v>
      </c>
      <c r="C353" s="8" t="s">
        <v>2209</v>
      </c>
      <c r="D353" s="12" t="s">
        <v>171</v>
      </c>
      <c r="E353" s="8" t="s">
        <v>2221</v>
      </c>
      <c r="F353" s="8" t="s">
        <v>2751</v>
      </c>
      <c r="G353" s="8" t="s">
        <v>2223</v>
      </c>
      <c r="H353" s="12" t="s">
        <v>194</v>
      </c>
      <c r="I353" s="8" t="s">
        <v>2213</v>
      </c>
      <c r="J353" s="8" t="s">
        <v>2752</v>
      </c>
      <c r="K353" s="8" t="s">
        <v>2215</v>
      </c>
    </row>
    <row r="354" customFormat="false" ht="24.75" hidden="false" customHeight="true" outlineLevel="0" collapsed="false">
      <c r="A354" s="12" t="s">
        <v>989</v>
      </c>
      <c r="B354" s="8" t="s">
        <v>990</v>
      </c>
      <c r="C354" s="8" t="s">
        <v>2209</v>
      </c>
      <c r="D354" s="12" t="s">
        <v>171</v>
      </c>
      <c r="E354" s="8" t="s">
        <v>2221</v>
      </c>
      <c r="F354" s="8" t="s">
        <v>2753</v>
      </c>
      <c r="G354" s="8" t="s">
        <v>2223</v>
      </c>
      <c r="H354" s="12" t="s">
        <v>194</v>
      </c>
      <c r="I354" s="8" t="s">
        <v>2213</v>
      </c>
      <c r="J354" s="8" t="s">
        <v>2754</v>
      </c>
      <c r="K354" s="8" t="s">
        <v>2215</v>
      </c>
    </row>
    <row r="355" customFormat="false" ht="24.75" hidden="false" customHeight="true" outlineLevel="0" collapsed="false">
      <c r="A355" s="12" t="s">
        <v>989</v>
      </c>
      <c r="B355" s="8" t="s">
        <v>990</v>
      </c>
      <c r="C355" s="8" t="s">
        <v>2209</v>
      </c>
      <c r="D355" s="12" t="s">
        <v>171</v>
      </c>
      <c r="E355" s="8" t="s">
        <v>2221</v>
      </c>
      <c r="F355" s="8" t="s">
        <v>2755</v>
      </c>
      <c r="G355" s="8" t="s">
        <v>2223</v>
      </c>
      <c r="H355" s="12" t="s">
        <v>194</v>
      </c>
      <c r="I355" s="8" t="s">
        <v>2213</v>
      </c>
      <c r="J355" s="8" t="s">
        <v>2756</v>
      </c>
      <c r="K355" s="8" t="s">
        <v>2215</v>
      </c>
    </row>
    <row r="356" customFormat="false" ht="24.75" hidden="false" customHeight="true" outlineLevel="0" collapsed="false">
      <c r="A356" s="12" t="s">
        <v>989</v>
      </c>
      <c r="B356" s="8" t="s">
        <v>990</v>
      </c>
      <c r="C356" s="8" t="s">
        <v>2209</v>
      </c>
      <c r="D356" s="12" t="s">
        <v>171</v>
      </c>
      <c r="E356" s="8" t="s">
        <v>2221</v>
      </c>
      <c r="F356" s="8" t="s">
        <v>2757</v>
      </c>
      <c r="G356" s="8" t="s">
        <v>2223</v>
      </c>
      <c r="H356" s="12" t="s">
        <v>194</v>
      </c>
      <c r="I356" s="8" t="s">
        <v>2213</v>
      </c>
      <c r="J356" s="8" t="s">
        <v>2758</v>
      </c>
      <c r="K356" s="8" t="s">
        <v>2215</v>
      </c>
    </row>
    <row r="357" customFormat="false" ht="14.25" hidden="false" customHeight="false" outlineLevel="0" collapsed="false">
      <c r="A357" s="12" t="s">
        <v>996</v>
      </c>
      <c r="B357" s="8" t="s">
        <v>997</v>
      </c>
      <c r="C357" s="8" t="s">
        <v>2209</v>
      </c>
      <c r="D357" s="12" t="s">
        <v>171</v>
      </c>
      <c r="E357" s="8" t="s">
        <v>2221</v>
      </c>
      <c r="F357" s="8" t="s">
        <v>2759</v>
      </c>
      <c r="G357" s="8" t="s">
        <v>2223</v>
      </c>
      <c r="H357" s="12" t="s">
        <v>194</v>
      </c>
      <c r="I357" s="8" t="s">
        <v>2213</v>
      </c>
      <c r="J357" s="8" t="s">
        <v>2760</v>
      </c>
      <c r="K357" s="8" t="s">
        <v>2215</v>
      </c>
    </row>
    <row r="358" customFormat="false" ht="14.25" hidden="false" customHeight="false" outlineLevel="0" collapsed="false">
      <c r="A358" s="12" t="s">
        <v>996</v>
      </c>
      <c r="B358" s="8" t="s">
        <v>997</v>
      </c>
      <c r="C358" s="8" t="s">
        <v>2209</v>
      </c>
      <c r="D358" s="12" t="s">
        <v>171</v>
      </c>
      <c r="E358" s="8" t="s">
        <v>2221</v>
      </c>
      <c r="F358" s="8" t="s">
        <v>2761</v>
      </c>
      <c r="G358" s="8" t="s">
        <v>2223</v>
      </c>
      <c r="H358" s="12" t="s">
        <v>194</v>
      </c>
      <c r="I358" s="8" t="s">
        <v>2213</v>
      </c>
      <c r="J358" s="8" t="s">
        <v>2762</v>
      </c>
      <c r="K358" s="8" t="s">
        <v>2215</v>
      </c>
    </row>
    <row r="359" customFormat="false" ht="14.25" hidden="false" customHeight="false" outlineLevel="0" collapsed="false">
      <c r="A359" s="12" t="s">
        <v>996</v>
      </c>
      <c r="B359" s="8" t="s">
        <v>997</v>
      </c>
      <c r="C359" s="8" t="s">
        <v>2209</v>
      </c>
      <c r="D359" s="12" t="s">
        <v>171</v>
      </c>
      <c r="E359" s="8" t="s">
        <v>2221</v>
      </c>
      <c r="F359" s="8" t="s">
        <v>2763</v>
      </c>
      <c r="G359" s="8" t="s">
        <v>2764</v>
      </c>
      <c r="H359" s="12" t="s">
        <v>810</v>
      </c>
      <c r="I359" s="8" t="s">
        <v>2213</v>
      </c>
      <c r="J359" s="8" t="s">
        <v>2765</v>
      </c>
      <c r="K359" s="8" t="s">
        <v>2215</v>
      </c>
    </row>
    <row r="360" customFormat="false" ht="14.25" hidden="false" customHeight="false" outlineLevel="0" collapsed="false">
      <c r="A360" s="12" t="s">
        <v>996</v>
      </c>
      <c r="B360" s="8" t="s">
        <v>997</v>
      </c>
      <c r="C360" s="8" t="s">
        <v>2209</v>
      </c>
      <c r="D360" s="12" t="s">
        <v>171</v>
      </c>
      <c r="E360" s="8" t="s">
        <v>2221</v>
      </c>
      <c r="F360" s="8" t="s">
        <v>2766</v>
      </c>
      <c r="G360" s="8" t="s">
        <v>2764</v>
      </c>
      <c r="H360" s="12" t="s">
        <v>810</v>
      </c>
      <c r="I360" s="8" t="s">
        <v>2213</v>
      </c>
      <c r="J360" s="8" t="s">
        <v>2767</v>
      </c>
      <c r="K360" s="8" t="s">
        <v>2215</v>
      </c>
    </row>
    <row r="361" customFormat="false" ht="14.25" hidden="false" customHeight="false" outlineLevel="0" collapsed="false">
      <c r="A361" s="12" t="s">
        <v>996</v>
      </c>
      <c r="B361" s="8" t="s">
        <v>997</v>
      </c>
      <c r="C361" s="8" t="s">
        <v>2209</v>
      </c>
      <c r="D361" s="12" t="s">
        <v>171</v>
      </c>
      <c r="E361" s="8" t="s">
        <v>2221</v>
      </c>
      <c r="F361" s="8" t="s">
        <v>2768</v>
      </c>
      <c r="G361" s="8" t="s">
        <v>2764</v>
      </c>
      <c r="H361" s="12" t="s">
        <v>810</v>
      </c>
      <c r="I361" s="8" t="s">
        <v>2213</v>
      </c>
      <c r="J361" s="8" t="s">
        <v>2769</v>
      </c>
      <c r="K361" s="8" t="s">
        <v>2215</v>
      </c>
    </row>
    <row r="362" customFormat="false" ht="14.25" hidden="false" customHeight="false" outlineLevel="0" collapsed="false">
      <c r="A362" s="12" t="s">
        <v>996</v>
      </c>
      <c r="B362" s="8" t="s">
        <v>997</v>
      </c>
      <c r="C362" s="8" t="s">
        <v>2209</v>
      </c>
      <c r="D362" s="12" t="s">
        <v>171</v>
      </c>
      <c r="E362" s="8" t="s">
        <v>2221</v>
      </c>
      <c r="F362" s="8" t="s">
        <v>2770</v>
      </c>
      <c r="G362" s="8" t="s">
        <v>2764</v>
      </c>
      <c r="H362" s="12" t="s">
        <v>810</v>
      </c>
      <c r="I362" s="8" t="s">
        <v>2213</v>
      </c>
      <c r="J362" s="8" t="s">
        <v>2771</v>
      </c>
      <c r="K362" s="8" t="s">
        <v>2215</v>
      </c>
    </row>
    <row r="363" customFormat="false" ht="14.25" hidden="false" customHeight="false" outlineLevel="0" collapsed="false">
      <c r="A363" s="12" t="s">
        <v>996</v>
      </c>
      <c r="B363" s="8" t="s">
        <v>997</v>
      </c>
      <c r="C363" s="8" t="s">
        <v>2209</v>
      </c>
      <c r="D363" s="12" t="s">
        <v>171</v>
      </c>
      <c r="E363" s="8" t="s">
        <v>2221</v>
      </c>
      <c r="F363" s="8" t="s">
        <v>2772</v>
      </c>
      <c r="G363" s="8" t="s">
        <v>2764</v>
      </c>
      <c r="H363" s="12" t="s">
        <v>810</v>
      </c>
      <c r="I363" s="8" t="s">
        <v>2213</v>
      </c>
      <c r="J363" s="8" t="s">
        <v>2773</v>
      </c>
      <c r="K363" s="8" t="s">
        <v>2215</v>
      </c>
    </row>
    <row r="364" customFormat="false" ht="14.25" hidden="false" customHeight="false" outlineLevel="0" collapsed="false">
      <c r="A364" s="12" t="s">
        <v>996</v>
      </c>
      <c r="B364" s="8" t="s">
        <v>997</v>
      </c>
      <c r="C364" s="8" t="s">
        <v>2209</v>
      </c>
      <c r="D364" s="12" t="s">
        <v>171</v>
      </c>
      <c r="E364" s="8" t="s">
        <v>2221</v>
      </c>
      <c r="F364" s="8" t="s">
        <v>2774</v>
      </c>
      <c r="G364" s="8" t="s">
        <v>2738</v>
      </c>
      <c r="H364" s="12" t="s">
        <v>232</v>
      </c>
      <c r="I364" s="8" t="s">
        <v>2213</v>
      </c>
      <c r="J364" s="8" t="s">
        <v>2765</v>
      </c>
      <c r="K364" s="8" t="s">
        <v>2215</v>
      </c>
    </row>
    <row r="365" customFormat="false" ht="14.25" hidden="false" customHeight="false" outlineLevel="0" collapsed="false">
      <c r="A365" s="12" t="s">
        <v>1003</v>
      </c>
      <c r="B365" s="8" t="s">
        <v>1007</v>
      </c>
      <c r="C365" s="8" t="s">
        <v>2209</v>
      </c>
      <c r="D365" s="12" t="s">
        <v>173</v>
      </c>
      <c r="E365" s="8" t="s">
        <v>2260</v>
      </c>
      <c r="F365" s="8" t="s">
        <v>2261</v>
      </c>
      <c r="G365" s="8" t="s">
        <v>2262</v>
      </c>
      <c r="H365" s="12" t="s">
        <v>194</v>
      </c>
      <c r="I365" s="8" t="s">
        <v>2213</v>
      </c>
      <c r="J365" s="8" t="s">
        <v>2775</v>
      </c>
      <c r="K365" s="8" t="s">
        <v>2215</v>
      </c>
    </row>
    <row r="366" customFormat="false" ht="37.5" hidden="false" customHeight="true" outlineLevel="0" collapsed="false">
      <c r="A366" s="12" t="s">
        <v>1011</v>
      </c>
      <c r="B366" s="8" t="s">
        <v>1013</v>
      </c>
      <c r="C366" s="8" t="s">
        <v>2209</v>
      </c>
      <c r="D366" s="12" t="s">
        <v>173</v>
      </c>
      <c r="E366" s="8" t="s">
        <v>2260</v>
      </c>
      <c r="F366" s="8" t="s">
        <v>2261</v>
      </c>
      <c r="G366" s="8" t="s">
        <v>2262</v>
      </c>
      <c r="H366" s="12" t="s">
        <v>194</v>
      </c>
      <c r="I366" s="8" t="s">
        <v>2213</v>
      </c>
      <c r="J366" s="8" t="s">
        <v>2776</v>
      </c>
      <c r="K366" s="8" t="s">
        <v>2215</v>
      </c>
    </row>
    <row r="367" customFormat="false" ht="37.5" hidden="false" customHeight="true" outlineLevel="0" collapsed="false">
      <c r="A367" s="12" t="s">
        <v>1017</v>
      </c>
      <c r="B367" s="8" t="s">
        <v>1019</v>
      </c>
      <c r="C367" s="8" t="s">
        <v>2209</v>
      </c>
      <c r="D367" s="12" t="s">
        <v>173</v>
      </c>
      <c r="E367" s="8" t="s">
        <v>2260</v>
      </c>
      <c r="F367" s="8" t="s">
        <v>2261</v>
      </c>
      <c r="G367" s="8" t="s">
        <v>2262</v>
      </c>
      <c r="H367" s="12" t="s">
        <v>194</v>
      </c>
      <c r="I367" s="8" t="s">
        <v>2213</v>
      </c>
      <c r="J367" s="8" t="s">
        <v>2286</v>
      </c>
      <c r="K367" s="8" t="s">
        <v>2215</v>
      </c>
    </row>
    <row r="368" customFormat="false" ht="24.75" hidden="false" customHeight="true" outlineLevel="0" collapsed="false">
      <c r="A368" s="12" t="s">
        <v>1017</v>
      </c>
      <c r="B368" s="8" t="s">
        <v>1019</v>
      </c>
      <c r="C368" s="8" t="s">
        <v>2209</v>
      </c>
      <c r="D368" s="12" t="s">
        <v>173</v>
      </c>
      <c r="E368" s="8" t="s">
        <v>2260</v>
      </c>
      <c r="F368" s="8" t="s">
        <v>2462</v>
      </c>
      <c r="G368" s="8" t="s">
        <v>2463</v>
      </c>
      <c r="H368" s="12" t="s">
        <v>232</v>
      </c>
      <c r="I368" s="8" t="s">
        <v>2213</v>
      </c>
      <c r="J368" s="8" t="s">
        <v>2777</v>
      </c>
      <c r="K368" s="8" t="s">
        <v>2215</v>
      </c>
    </row>
    <row r="369" customFormat="false" ht="24.75" hidden="false" customHeight="true" outlineLevel="0" collapsed="false">
      <c r="A369" s="12" t="s">
        <v>1025</v>
      </c>
      <c r="B369" s="8" t="s">
        <v>1027</v>
      </c>
      <c r="C369" s="8" t="s">
        <v>2209</v>
      </c>
      <c r="D369" s="12" t="s">
        <v>173</v>
      </c>
      <c r="E369" s="8" t="s">
        <v>2260</v>
      </c>
      <c r="F369" s="8" t="s">
        <v>2261</v>
      </c>
      <c r="G369" s="8" t="s">
        <v>2262</v>
      </c>
      <c r="H369" s="12" t="s">
        <v>194</v>
      </c>
      <c r="I369" s="8" t="s">
        <v>2213</v>
      </c>
      <c r="J369" s="8" t="s">
        <v>2778</v>
      </c>
      <c r="K369" s="8" t="s">
        <v>2215</v>
      </c>
    </row>
    <row r="370" customFormat="false" ht="24.75" hidden="false" customHeight="true" outlineLevel="0" collapsed="false">
      <c r="A370" s="12" t="s">
        <v>1035</v>
      </c>
      <c r="B370" s="8" t="s">
        <v>1036</v>
      </c>
      <c r="C370" s="8" t="s">
        <v>2209</v>
      </c>
      <c r="D370" s="12" t="s">
        <v>173</v>
      </c>
      <c r="E370" s="8" t="s">
        <v>2260</v>
      </c>
      <c r="F370" s="8" t="s">
        <v>2779</v>
      </c>
      <c r="G370" s="8" t="s">
        <v>2262</v>
      </c>
      <c r="H370" s="12" t="s">
        <v>194</v>
      </c>
      <c r="I370" s="8" t="s">
        <v>2213</v>
      </c>
      <c r="J370" s="8" t="s">
        <v>2780</v>
      </c>
      <c r="K370" s="8" t="s">
        <v>2215</v>
      </c>
    </row>
    <row r="371" customFormat="false" ht="24.75" hidden="false" customHeight="true" outlineLevel="0" collapsed="false">
      <c r="A371" s="12" t="s">
        <v>1035</v>
      </c>
      <c r="B371" s="8" t="s">
        <v>1036</v>
      </c>
      <c r="C371" s="8" t="s">
        <v>2209</v>
      </c>
      <c r="D371" s="12" t="s">
        <v>173</v>
      </c>
      <c r="E371" s="8" t="s">
        <v>2260</v>
      </c>
      <c r="F371" s="8" t="s">
        <v>2779</v>
      </c>
      <c r="G371" s="8" t="s">
        <v>2262</v>
      </c>
      <c r="H371" s="12" t="s">
        <v>194</v>
      </c>
      <c r="I371" s="8" t="s">
        <v>2213</v>
      </c>
      <c r="J371" s="8" t="s">
        <v>2781</v>
      </c>
      <c r="K371" s="8" t="s">
        <v>2215</v>
      </c>
    </row>
    <row r="372" customFormat="false" ht="24.75" hidden="false" customHeight="true" outlineLevel="0" collapsed="false">
      <c r="A372" s="12" t="s">
        <v>417</v>
      </c>
      <c r="B372" s="8" t="s">
        <v>1050</v>
      </c>
      <c r="C372" s="8" t="s">
        <v>2209</v>
      </c>
      <c r="D372" s="12" t="s">
        <v>171</v>
      </c>
      <c r="E372" s="8" t="s">
        <v>2221</v>
      </c>
      <c r="F372" s="8" t="s">
        <v>2782</v>
      </c>
      <c r="G372" s="8" t="s">
        <v>2223</v>
      </c>
      <c r="H372" s="12" t="s">
        <v>194</v>
      </c>
      <c r="I372" s="8" t="s">
        <v>2213</v>
      </c>
      <c r="J372" s="8" t="s">
        <v>2783</v>
      </c>
      <c r="K372" s="8" t="s">
        <v>2215</v>
      </c>
    </row>
    <row r="373" customFormat="false" ht="24.75" hidden="false" customHeight="true" outlineLevel="0" collapsed="false">
      <c r="A373" s="12" t="s">
        <v>417</v>
      </c>
      <c r="B373" s="8" t="s">
        <v>1050</v>
      </c>
      <c r="C373" s="8" t="s">
        <v>2209</v>
      </c>
      <c r="D373" s="12" t="s">
        <v>171</v>
      </c>
      <c r="E373" s="8" t="s">
        <v>2221</v>
      </c>
      <c r="F373" s="8" t="s">
        <v>2784</v>
      </c>
      <c r="G373" s="8" t="s">
        <v>2223</v>
      </c>
      <c r="H373" s="12" t="s">
        <v>194</v>
      </c>
      <c r="I373" s="8" t="s">
        <v>2213</v>
      </c>
      <c r="J373" s="8" t="s">
        <v>2785</v>
      </c>
      <c r="K373" s="8" t="s">
        <v>2215</v>
      </c>
    </row>
    <row r="374" customFormat="false" ht="24.75" hidden="false" customHeight="true" outlineLevel="0" collapsed="false">
      <c r="A374" s="12" t="s">
        <v>417</v>
      </c>
      <c r="B374" s="8" t="s">
        <v>1050</v>
      </c>
      <c r="C374" s="8" t="s">
        <v>2209</v>
      </c>
      <c r="D374" s="12" t="s">
        <v>171</v>
      </c>
      <c r="E374" s="8" t="s">
        <v>2221</v>
      </c>
      <c r="F374" s="8" t="s">
        <v>2786</v>
      </c>
      <c r="G374" s="8" t="s">
        <v>2223</v>
      </c>
      <c r="H374" s="12" t="s">
        <v>194</v>
      </c>
      <c r="I374" s="8" t="s">
        <v>2213</v>
      </c>
      <c r="J374" s="8" t="s">
        <v>2787</v>
      </c>
      <c r="K374" s="8" t="s">
        <v>2215</v>
      </c>
    </row>
    <row r="375" customFormat="false" ht="24.75" hidden="false" customHeight="true" outlineLevel="0" collapsed="false">
      <c r="A375" s="12" t="s">
        <v>417</v>
      </c>
      <c r="B375" s="8" t="s">
        <v>1050</v>
      </c>
      <c r="C375" s="8" t="s">
        <v>2209</v>
      </c>
      <c r="D375" s="12" t="s">
        <v>171</v>
      </c>
      <c r="E375" s="8" t="s">
        <v>2221</v>
      </c>
      <c r="F375" s="8" t="s">
        <v>2788</v>
      </c>
      <c r="G375" s="8" t="s">
        <v>2223</v>
      </c>
      <c r="H375" s="12" t="s">
        <v>194</v>
      </c>
      <c r="I375" s="8" t="s">
        <v>2213</v>
      </c>
      <c r="J375" s="8" t="s">
        <v>2789</v>
      </c>
      <c r="K375" s="8" t="s">
        <v>2215</v>
      </c>
    </row>
    <row r="376" customFormat="false" ht="24.75" hidden="false" customHeight="true" outlineLevel="0" collapsed="false">
      <c r="A376" s="12" t="s">
        <v>417</v>
      </c>
      <c r="B376" s="8" t="s">
        <v>1050</v>
      </c>
      <c r="C376" s="8" t="s">
        <v>2209</v>
      </c>
      <c r="D376" s="12" t="s">
        <v>171</v>
      </c>
      <c r="E376" s="8" t="s">
        <v>2221</v>
      </c>
      <c r="F376" s="8" t="s">
        <v>2790</v>
      </c>
      <c r="G376" s="8" t="s">
        <v>2223</v>
      </c>
      <c r="H376" s="12" t="s">
        <v>194</v>
      </c>
      <c r="I376" s="8" t="s">
        <v>2213</v>
      </c>
      <c r="J376" s="8" t="s">
        <v>2791</v>
      </c>
      <c r="K376" s="8" t="s">
        <v>2215</v>
      </c>
    </row>
    <row r="377" customFormat="false" ht="24.75" hidden="false" customHeight="true" outlineLevel="0" collapsed="false">
      <c r="A377" s="12" t="s">
        <v>417</v>
      </c>
      <c r="B377" s="8" t="s">
        <v>1050</v>
      </c>
      <c r="C377" s="8" t="s">
        <v>2209</v>
      </c>
      <c r="D377" s="12" t="s">
        <v>173</v>
      </c>
      <c r="E377" s="8" t="s">
        <v>2260</v>
      </c>
      <c r="F377" s="8" t="s">
        <v>2508</v>
      </c>
      <c r="G377" s="8" t="s">
        <v>2262</v>
      </c>
      <c r="H377" s="12" t="s">
        <v>194</v>
      </c>
      <c r="I377" s="8" t="s">
        <v>2213</v>
      </c>
      <c r="J377" s="8" t="s">
        <v>2792</v>
      </c>
      <c r="K377" s="8" t="s">
        <v>2215</v>
      </c>
    </row>
    <row r="378" customFormat="false" ht="37.5" hidden="false" customHeight="true" outlineLevel="0" collapsed="false">
      <c r="A378" s="12" t="s">
        <v>417</v>
      </c>
      <c r="B378" s="8" t="s">
        <v>1050</v>
      </c>
      <c r="C378" s="8" t="s">
        <v>2209</v>
      </c>
      <c r="D378" s="12" t="s">
        <v>175</v>
      </c>
      <c r="E378" s="8" t="s">
        <v>2237</v>
      </c>
      <c r="F378" s="8" t="s">
        <v>2256</v>
      </c>
      <c r="G378" s="8" t="s">
        <v>2239</v>
      </c>
      <c r="H378" s="12" t="s">
        <v>194</v>
      </c>
      <c r="I378" s="8" t="s">
        <v>2213</v>
      </c>
      <c r="J378" s="8" t="s">
        <v>2793</v>
      </c>
      <c r="K378" s="8" t="s">
        <v>2215</v>
      </c>
    </row>
    <row r="379" customFormat="false" ht="24.75" hidden="false" customHeight="true" outlineLevel="0" collapsed="false">
      <c r="A379" s="12" t="s">
        <v>417</v>
      </c>
      <c r="B379" s="8" t="s">
        <v>1050</v>
      </c>
      <c r="C379" s="8" t="s">
        <v>2209</v>
      </c>
      <c r="D379" s="12" t="s">
        <v>175</v>
      </c>
      <c r="E379" s="8" t="s">
        <v>2237</v>
      </c>
      <c r="F379" s="8" t="s">
        <v>2238</v>
      </c>
      <c r="G379" s="8" t="s">
        <v>2239</v>
      </c>
      <c r="H379" s="12" t="s">
        <v>194</v>
      </c>
      <c r="I379" s="8" t="s">
        <v>2213</v>
      </c>
      <c r="J379" s="8" t="s">
        <v>2794</v>
      </c>
      <c r="K379" s="8" t="s">
        <v>2215</v>
      </c>
    </row>
    <row r="380" customFormat="false" ht="24.75" hidden="false" customHeight="true" outlineLevel="0" collapsed="false">
      <c r="A380" s="12" t="s">
        <v>417</v>
      </c>
      <c r="B380" s="8" t="s">
        <v>1050</v>
      </c>
      <c r="C380" s="8" t="s">
        <v>2209</v>
      </c>
      <c r="D380" s="12" t="s">
        <v>176</v>
      </c>
      <c r="E380" s="8" t="s">
        <v>2481</v>
      </c>
      <c r="F380" s="8" t="s">
        <v>2795</v>
      </c>
      <c r="G380" s="8" t="s">
        <v>2483</v>
      </c>
      <c r="H380" s="12" t="s">
        <v>194</v>
      </c>
      <c r="I380" s="8" t="s">
        <v>2213</v>
      </c>
      <c r="J380" s="8" t="s">
        <v>2796</v>
      </c>
      <c r="K380" s="8" t="s">
        <v>2485</v>
      </c>
    </row>
    <row r="381" customFormat="false" ht="24.75" hidden="false" customHeight="true" outlineLevel="0" collapsed="false">
      <c r="A381" s="12" t="s">
        <v>417</v>
      </c>
      <c r="B381" s="8" t="s">
        <v>1050</v>
      </c>
      <c r="C381" s="8" t="s">
        <v>2209</v>
      </c>
      <c r="D381" s="12" t="s">
        <v>1982</v>
      </c>
      <c r="E381" s="8" t="s">
        <v>2703</v>
      </c>
      <c r="F381" s="8" t="s">
        <v>2704</v>
      </c>
      <c r="G381" s="8" t="s">
        <v>2705</v>
      </c>
      <c r="H381" s="12" t="s">
        <v>195</v>
      </c>
      <c r="I381" s="8" t="s">
        <v>2706</v>
      </c>
      <c r="J381" s="8" t="s">
        <v>2797</v>
      </c>
      <c r="K381" s="8" t="s">
        <v>2215</v>
      </c>
    </row>
    <row r="382" customFormat="false" ht="24.75" hidden="false" customHeight="true" outlineLevel="0" collapsed="false">
      <c r="A382" s="12" t="s">
        <v>1055</v>
      </c>
      <c r="B382" s="8" t="s">
        <v>1056</v>
      </c>
      <c r="C382" s="8" t="s">
        <v>2209</v>
      </c>
      <c r="D382" s="12" t="s">
        <v>171</v>
      </c>
      <c r="E382" s="8" t="s">
        <v>2221</v>
      </c>
      <c r="F382" s="8" t="s">
        <v>2798</v>
      </c>
      <c r="G382" s="8" t="s">
        <v>2223</v>
      </c>
      <c r="H382" s="12" t="s">
        <v>194</v>
      </c>
      <c r="I382" s="8" t="s">
        <v>2213</v>
      </c>
      <c r="J382" s="8" t="s">
        <v>2799</v>
      </c>
      <c r="K382" s="8" t="s">
        <v>2215</v>
      </c>
    </row>
    <row r="383" customFormat="false" ht="24.75" hidden="false" customHeight="true" outlineLevel="0" collapsed="false">
      <c r="A383" s="12" t="s">
        <v>1055</v>
      </c>
      <c r="B383" s="8" t="s">
        <v>1056</v>
      </c>
      <c r="C383" s="8" t="s">
        <v>2209</v>
      </c>
      <c r="D383" s="12" t="s">
        <v>171</v>
      </c>
      <c r="E383" s="8" t="s">
        <v>2221</v>
      </c>
      <c r="F383" s="8" t="s">
        <v>2222</v>
      </c>
      <c r="G383" s="8" t="s">
        <v>2223</v>
      </c>
      <c r="H383" s="12" t="s">
        <v>194</v>
      </c>
      <c r="I383" s="8" t="s">
        <v>2213</v>
      </c>
      <c r="J383" s="8" t="s">
        <v>2224</v>
      </c>
      <c r="K383" s="8" t="s">
        <v>2215</v>
      </c>
    </row>
    <row r="384" customFormat="false" ht="14.25" hidden="false" customHeight="false" outlineLevel="0" collapsed="false">
      <c r="A384" s="12" t="s">
        <v>1059</v>
      </c>
      <c r="B384" s="8" t="s">
        <v>1060</v>
      </c>
      <c r="C384" s="8" t="s">
        <v>2209</v>
      </c>
      <c r="D384" s="12" t="s">
        <v>171</v>
      </c>
      <c r="E384" s="8" t="s">
        <v>2221</v>
      </c>
      <c r="F384" s="8" t="s">
        <v>2800</v>
      </c>
      <c r="G384" s="8" t="s">
        <v>2223</v>
      </c>
      <c r="H384" s="12" t="s">
        <v>194</v>
      </c>
      <c r="I384" s="8" t="s">
        <v>2213</v>
      </c>
      <c r="J384" s="8" t="s">
        <v>2801</v>
      </c>
      <c r="K384" s="8" t="s">
        <v>2215</v>
      </c>
    </row>
    <row r="385" customFormat="false" ht="14.25" hidden="false" customHeight="false" outlineLevel="0" collapsed="false">
      <c r="A385" s="12" t="s">
        <v>1059</v>
      </c>
      <c r="B385" s="8" t="s">
        <v>1060</v>
      </c>
      <c r="C385" s="8" t="s">
        <v>2209</v>
      </c>
      <c r="D385" s="12" t="s">
        <v>171</v>
      </c>
      <c r="E385" s="8" t="s">
        <v>2221</v>
      </c>
      <c r="F385" s="8" t="s">
        <v>2802</v>
      </c>
      <c r="G385" s="8" t="s">
        <v>2223</v>
      </c>
      <c r="H385" s="12" t="s">
        <v>194</v>
      </c>
      <c r="I385" s="8" t="s">
        <v>2213</v>
      </c>
      <c r="J385" s="8" t="s">
        <v>2803</v>
      </c>
      <c r="K385" s="8" t="s">
        <v>2215</v>
      </c>
    </row>
    <row r="386" customFormat="false" ht="24.75" hidden="false" customHeight="true" outlineLevel="0" collapsed="false">
      <c r="A386" s="12" t="s">
        <v>1059</v>
      </c>
      <c r="B386" s="8" t="s">
        <v>1060</v>
      </c>
      <c r="C386" s="8" t="s">
        <v>2209</v>
      </c>
      <c r="D386" s="12" t="s">
        <v>176</v>
      </c>
      <c r="E386" s="8" t="s">
        <v>2481</v>
      </c>
      <c r="F386" s="8" t="s">
        <v>2804</v>
      </c>
      <c r="G386" s="8" t="s">
        <v>2483</v>
      </c>
      <c r="H386" s="12" t="s">
        <v>194</v>
      </c>
      <c r="I386" s="8" t="s">
        <v>2213</v>
      </c>
      <c r="J386" s="8" t="s">
        <v>2805</v>
      </c>
      <c r="K386" s="8" t="s">
        <v>2485</v>
      </c>
    </row>
    <row r="387" customFormat="false" ht="24.75" hidden="false" customHeight="true" outlineLevel="0" collapsed="false">
      <c r="A387" s="12" t="s">
        <v>1064</v>
      </c>
      <c r="B387" s="8" t="s">
        <v>1066</v>
      </c>
      <c r="C387" s="8" t="s">
        <v>2209</v>
      </c>
      <c r="D387" s="12" t="s">
        <v>171</v>
      </c>
      <c r="E387" s="8" t="s">
        <v>2221</v>
      </c>
      <c r="F387" s="8" t="s">
        <v>2806</v>
      </c>
      <c r="G387" s="8" t="s">
        <v>2223</v>
      </c>
      <c r="H387" s="12" t="s">
        <v>194</v>
      </c>
      <c r="I387" s="8" t="s">
        <v>2213</v>
      </c>
      <c r="J387" s="8" t="s">
        <v>2807</v>
      </c>
      <c r="K387" s="8" t="s">
        <v>2215</v>
      </c>
    </row>
    <row r="388" customFormat="false" ht="24.75" hidden="false" customHeight="true" outlineLevel="0" collapsed="false">
      <c r="A388" s="12" t="s">
        <v>1064</v>
      </c>
      <c r="B388" s="8" t="s">
        <v>1066</v>
      </c>
      <c r="C388" s="8" t="s">
        <v>2209</v>
      </c>
      <c r="D388" s="12" t="s">
        <v>171</v>
      </c>
      <c r="E388" s="8" t="s">
        <v>2221</v>
      </c>
      <c r="F388" s="8" t="s">
        <v>2808</v>
      </c>
      <c r="G388" s="8" t="s">
        <v>2809</v>
      </c>
      <c r="H388" s="12" t="s">
        <v>194</v>
      </c>
      <c r="I388" s="8" t="s">
        <v>2213</v>
      </c>
      <c r="J388" s="8" t="s">
        <v>2810</v>
      </c>
      <c r="K388" s="8" t="s">
        <v>2215</v>
      </c>
    </row>
    <row r="389" customFormat="false" ht="24.75" hidden="false" customHeight="true" outlineLevel="0" collapsed="false">
      <c r="A389" s="12" t="s">
        <v>1064</v>
      </c>
      <c r="B389" s="8" t="s">
        <v>1066</v>
      </c>
      <c r="C389" s="8" t="s">
        <v>2209</v>
      </c>
      <c r="D389" s="12" t="s">
        <v>176</v>
      </c>
      <c r="E389" s="8" t="s">
        <v>2481</v>
      </c>
      <c r="F389" s="8" t="s">
        <v>2811</v>
      </c>
      <c r="G389" s="8" t="s">
        <v>2483</v>
      </c>
      <c r="H389" s="12" t="s">
        <v>194</v>
      </c>
      <c r="I389" s="8" t="s">
        <v>2213</v>
      </c>
      <c r="J389" s="8" t="s">
        <v>2812</v>
      </c>
      <c r="K389" s="8" t="s">
        <v>2485</v>
      </c>
    </row>
    <row r="390" customFormat="false" ht="24.75" hidden="false" customHeight="true" outlineLevel="0" collapsed="false">
      <c r="A390" s="12" t="s">
        <v>1064</v>
      </c>
      <c r="B390" s="8" t="s">
        <v>1066</v>
      </c>
      <c r="C390" s="8" t="s">
        <v>2209</v>
      </c>
      <c r="D390" s="12" t="s">
        <v>176</v>
      </c>
      <c r="E390" s="8" t="s">
        <v>2481</v>
      </c>
      <c r="F390" s="8" t="s">
        <v>2813</v>
      </c>
      <c r="G390" s="8" t="s">
        <v>2483</v>
      </c>
      <c r="H390" s="12" t="s">
        <v>194</v>
      </c>
      <c r="I390" s="8" t="s">
        <v>2213</v>
      </c>
      <c r="J390" s="8" t="s">
        <v>2814</v>
      </c>
      <c r="K390" s="8" t="s">
        <v>2485</v>
      </c>
    </row>
    <row r="391" customFormat="false" ht="24.75" hidden="false" customHeight="true" outlineLevel="0" collapsed="false">
      <c r="A391" s="12" t="s">
        <v>1064</v>
      </c>
      <c r="B391" s="8" t="s">
        <v>1066</v>
      </c>
      <c r="C391" s="8" t="s">
        <v>2209</v>
      </c>
      <c r="D391" s="12" t="s">
        <v>176</v>
      </c>
      <c r="E391" s="8" t="s">
        <v>2481</v>
      </c>
      <c r="F391" s="8" t="s">
        <v>2815</v>
      </c>
      <c r="G391" s="8" t="s">
        <v>2483</v>
      </c>
      <c r="H391" s="12" t="s">
        <v>194</v>
      </c>
      <c r="I391" s="8" t="s">
        <v>2213</v>
      </c>
      <c r="J391" s="8" t="s">
        <v>2816</v>
      </c>
      <c r="K391" s="8" t="s">
        <v>2485</v>
      </c>
    </row>
    <row r="392" customFormat="false" ht="24.75" hidden="false" customHeight="true" outlineLevel="0" collapsed="false">
      <c r="A392" s="12" t="s">
        <v>1064</v>
      </c>
      <c r="B392" s="8" t="s">
        <v>1066</v>
      </c>
      <c r="C392" s="8" t="s">
        <v>2209</v>
      </c>
      <c r="D392" s="12" t="s">
        <v>176</v>
      </c>
      <c r="E392" s="8" t="s">
        <v>2481</v>
      </c>
      <c r="F392" s="8" t="s">
        <v>2817</v>
      </c>
      <c r="G392" s="8" t="s">
        <v>2483</v>
      </c>
      <c r="H392" s="12" t="s">
        <v>194</v>
      </c>
      <c r="I392" s="8" t="s">
        <v>2213</v>
      </c>
      <c r="J392" s="8" t="s">
        <v>2818</v>
      </c>
      <c r="K392" s="8" t="s">
        <v>2485</v>
      </c>
    </row>
    <row r="393" customFormat="false" ht="24.75" hidden="false" customHeight="true" outlineLevel="0" collapsed="false">
      <c r="A393" s="12" t="s">
        <v>1069</v>
      </c>
      <c r="B393" s="8" t="s">
        <v>1070</v>
      </c>
      <c r="C393" s="8" t="s">
        <v>2209</v>
      </c>
      <c r="D393" s="12" t="s">
        <v>172</v>
      </c>
      <c r="E393" s="8" t="s">
        <v>2210</v>
      </c>
      <c r="F393" s="8" t="s">
        <v>2233</v>
      </c>
      <c r="G393" s="8" t="s">
        <v>2212</v>
      </c>
      <c r="H393" s="12" t="s">
        <v>194</v>
      </c>
      <c r="I393" s="8" t="s">
        <v>2213</v>
      </c>
      <c r="J393" s="8" t="s">
        <v>2819</v>
      </c>
      <c r="K393" s="8" t="s">
        <v>2215</v>
      </c>
    </row>
    <row r="394" customFormat="false" ht="24.75" hidden="false" customHeight="true" outlineLevel="0" collapsed="false">
      <c r="A394" s="12" t="s">
        <v>1069</v>
      </c>
      <c r="B394" s="8" t="s">
        <v>1070</v>
      </c>
      <c r="C394" s="8" t="s">
        <v>2209</v>
      </c>
      <c r="D394" s="12" t="s">
        <v>172</v>
      </c>
      <c r="E394" s="8" t="s">
        <v>2210</v>
      </c>
      <c r="F394" s="8" t="s">
        <v>2414</v>
      </c>
      <c r="G394" s="8" t="s">
        <v>2212</v>
      </c>
      <c r="H394" s="12" t="s">
        <v>194</v>
      </c>
      <c r="I394" s="8" t="s">
        <v>2213</v>
      </c>
      <c r="J394" s="8" t="s">
        <v>2820</v>
      </c>
      <c r="K394" s="8" t="s">
        <v>2215</v>
      </c>
    </row>
    <row r="395" customFormat="false" ht="37.5" hidden="false" customHeight="true" outlineLevel="0" collapsed="false">
      <c r="A395" s="12" t="s">
        <v>1069</v>
      </c>
      <c r="B395" s="8" t="s">
        <v>1070</v>
      </c>
      <c r="C395" s="8" t="s">
        <v>2209</v>
      </c>
      <c r="D395" s="12" t="s">
        <v>175</v>
      </c>
      <c r="E395" s="8" t="s">
        <v>2237</v>
      </c>
      <c r="F395" s="8" t="s">
        <v>2256</v>
      </c>
      <c r="G395" s="8" t="s">
        <v>2239</v>
      </c>
      <c r="H395" s="12" t="s">
        <v>194</v>
      </c>
      <c r="I395" s="8" t="s">
        <v>2213</v>
      </c>
      <c r="J395" s="8" t="s">
        <v>2793</v>
      </c>
      <c r="K395" s="8" t="s">
        <v>2215</v>
      </c>
    </row>
    <row r="396" customFormat="false" ht="37.5" hidden="false" customHeight="true" outlineLevel="0" collapsed="false">
      <c r="A396" s="12" t="s">
        <v>1074</v>
      </c>
      <c r="B396" s="8" t="s">
        <v>1075</v>
      </c>
      <c r="C396" s="8" t="s">
        <v>2209</v>
      </c>
      <c r="D396" s="12" t="s">
        <v>172</v>
      </c>
      <c r="E396" s="8" t="s">
        <v>2210</v>
      </c>
      <c r="F396" s="8" t="s">
        <v>2227</v>
      </c>
      <c r="G396" s="8" t="s">
        <v>2212</v>
      </c>
      <c r="H396" s="12" t="s">
        <v>194</v>
      </c>
      <c r="I396" s="8" t="s">
        <v>2213</v>
      </c>
      <c r="J396" s="8" t="s">
        <v>2821</v>
      </c>
      <c r="K396" s="8" t="s">
        <v>2215</v>
      </c>
    </row>
    <row r="397" customFormat="false" ht="14.25" hidden="false" customHeight="false" outlineLevel="0" collapsed="false">
      <c r="A397" s="12" t="s">
        <v>1078</v>
      </c>
      <c r="B397" s="8" t="s">
        <v>1079</v>
      </c>
      <c r="C397" s="8" t="s">
        <v>2209</v>
      </c>
      <c r="D397" s="12" t="s">
        <v>171</v>
      </c>
      <c r="E397" s="8" t="s">
        <v>2221</v>
      </c>
      <c r="F397" s="8" t="s">
        <v>2822</v>
      </c>
      <c r="G397" s="8" t="s">
        <v>2223</v>
      </c>
      <c r="H397" s="12" t="s">
        <v>194</v>
      </c>
      <c r="I397" s="8" t="s">
        <v>2213</v>
      </c>
      <c r="J397" s="8" t="s">
        <v>2823</v>
      </c>
      <c r="K397" s="8" t="s">
        <v>2215</v>
      </c>
    </row>
    <row r="398" customFormat="false" ht="14.25" hidden="false" customHeight="false" outlineLevel="0" collapsed="false">
      <c r="A398" s="12" t="s">
        <v>1078</v>
      </c>
      <c r="B398" s="8" t="s">
        <v>1079</v>
      </c>
      <c r="C398" s="8" t="s">
        <v>2209</v>
      </c>
      <c r="D398" s="12" t="s">
        <v>171</v>
      </c>
      <c r="E398" s="8" t="s">
        <v>2221</v>
      </c>
      <c r="F398" s="8" t="s">
        <v>2653</v>
      </c>
      <c r="G398" s="8" t="s">
        <v>2223</v>
      </c>
      <c r="H398" s="12" t="s">
        <v>194</v>
      </c>
      <c r="I398" s="8" t="s">
        <v>2213</v>
      </c>
      <c r="J398" s="8" t="s">
        <v>2654</v>
      </c>
      <c r="K398" s="8" t="s">
        <v>2215</v>
      </c>
    </row>
    <row r="399" customFormat="false" ht="24.75" hidden="false" customHeight="true" outlineLevel="0" collapsed="false">
      <c r="A399" s="12" t="s">
        <v>1083</v>
      </c>
      <c r="B399" s="8" t="s">
        <v>1084</v>
      </c>
      <c r="C399" s="8" t="s">
        <v>2209</v>
      </c>
      <c r="D399" s="12" t="s">
        <v>171</v>
      </c>
      <c r="E399" s="8" t="s">
        <v>2221</v>
      </c>
      <c r="F399" s="8" t="s">
        <v>2824</v>
      </c>
      <c r="G399" s="8" t="s">
        <v>2223</v>
      </c>
      <c r="H399" s="12" t="s">
        <v>194</v>
      </c>
      <c r="I399" s="8" t="s">
        <v>2213</v>
      </c>
      <c r="J399" s="8" t="s">
        <v>2825</v>
      </c>
      <c r="K399" s="8" t="s">
        <v>2215</v>
      </c>
    </row>
    <row r="400" customFormat="false" ht="24.75" hidden="false" customHeight="true" outlineLevel="0" collapsed="false">
      <c r="A400" s="12" t="s">
        <v>1083</v>
      </c>
      <c r="B400" s="8" t="s">
        <v>1084</v>
      </c>
      <c r="C400" s="8" t="s">
        <v>2209</v>
      </c>
      <c r="D400" s="12" t="s">
        <v>172</v>
      </c>
      <c r="E400" s="8" t="s">
        <v>2210</v>
      </c>
      <c r="F400" s="8" t="s">
        <v>2826</v>
      </c>
      <c r="G400" s="8" t="s">
        <v>2212</v>
      </c>
      <c r="H400" s="12" t="s">
        <v>194</v>
      </c>
      <c r="I400" s="8" t="s">
        <v>2213</v>
      </c>
      <c r="J400" s="8" t="s">
        <v>2827</v>
      </c>
      <c r="K400" s="8" t="s">
        <v>2215</v>
      </c>
    </row>
    <row r="401" customFormat="false" ht="24.75" hidden="false" customHeight="true" outlineLevel="0" collapsed="false">
      <c r="A401" s="12" t="s">
        <v>1083</v>
      </c>
      <c r="B401" s="8" t="s">
        <v>1084</v>
      </c>
      <c r="C401" s="8" t="s">
        <v>2209</v>
      </c>
      <c r="D401" s="12" t="s">
        <v>176</v>
      </c>
      <c r="E401" s="8" t="s">
        <v>2481</v>
      </c>
      <c r="F401" s="8" t="s">
        <v>2828</v>
      </c>
      <c r="G401" s="8" t="s">
        <v>2483</v>
      </c>
      <c r="H401" s="12" t="s">
        <v>194</v>
      </c>
      <c r="I401" s="8" t="s">
        <v>2213</v>
      </c>
      <c r="J401" s="8" t="s">
        <v>2829</v>
      </c>
      <c r="K401" s="8" t="s">
        <v>2485</v>
      </c>
    </row>
    <row r="402" customFormat="false" ht="24.75" hidden="false" customHeight="true" outlineLevel="0" collapsed="false">
      <c r="A402" s="12" t="s">
        <v>573</v>
      </c>
      <c r="B402" s="8" t="s">
        <v>1088</v>
      </c>
      <c r="C402" s="8" t="s">
        <v>2209</v>
      </c>
      <c r="D402" s="12" t="s">
        <v>171</v>
      </c>
      <c r="E402" s="8" t="s">
        <v>2221</v>
      </c>
      <c r="F402" s="8" t="s">
        <v>2830</v>
      </c>
      <c r="G402" s="8" t="s">
        <v>2223</v>
      </c>
      <c r="H402" s="12" t="s">
        <v>194</v>
      </c>
      <c r="I402" s="8" t="s">
        <v>2213</v>
      </c>
      <c r="J402" s="8" t="s">
        <v>2831</v>
      </c>
      <c r="K402" s="8" t="s">
        <v>2215</v>
      </c>
    </row>
    <row r="403" customFormat="false" ht="24.75" hidden="false" customHeight="true" outlineLevel="0" collapsed="false">
      <c r="A403" s="12" t="s">
        <v>573</v>
      </c>
      <c r="B403" s="8" t="s">
        <v>1088</v>
      </c>
      <c r="C403" s="8" t="s">
        <v>2209</v>
      </c>
      <c r="D403" s="12" t="s">
        <v>171</v>
      </c>
      <c r="E403" s="8" t="s">
        <v>2221</v>
      </c>
      <c r="F403" s="8" t="s">
        <v>2808</v>
      </c>
      <c r="G403" s="8" t="s">
        <v>2809</v>
      </c>
      <c r="H403" s="12" t="s">
        <v>194</v>
      </c>
      <c r="I403" s="8" t="s">
        <v>2213</v>
      </c>
      <c r="J403" s="8" t="s">
        <v>2810</v>
      </c>
      <c r="K403" s="8" t="s">
        <v>2215</v>
      </c>
    </row>
    <row r="404" customFormat="false" ht="24.75" hidden="false" customHeight="true" outlineLevel="0" collapsed="false">
      <c r="A404" s="12" t="s">
        <v>573</v>
      </c>
      <c r="B404" s="8" t="s">
        <v>1088</v>
      </c>
      <c r="C404" s="8" t="s">
        <v>2209</v>
      </c>
      <c r="D404" s="12" t="s">
        <v>173</v>
      </c>
      <c r="E404" s="8" t="s">
        <v>2260</v>
      </c>
      <c r="F404" s="8" t="s">
        <v>2832</v>
      </c>
      <c r="G404" s="8" t="s">
        <v>2262</v>
      </c>
      <c r="H404" s="12" t="s">
        <v>194</v>
      </c>
      <c r="I404" s="8" t="s">
        <v>2213</v>
      </c>
      <c r="J404" s="8" t="s">
        <v>2833</v>
      </c>
      <c r="K404" s="8" t="s">
        <v>2215</v>
      </c>
    </row>
    <row r="405" customFormat="false" ht="24.75" hidden="false" customHeight="true" outlineLevel="0" collapsed="false">
      <c r="A405" s="12" t="s">
        <v>573</v>
      </c>
      <c r="B405" s="8" t="s">
        <v>1088</v>
      </c>
      <c r="C405" s="8" t="s">
        <v>2209</v>
      </c>
      <c r="D405" s="12" t="s">
        <v>174</v>
      </c>
      <c r="E405" s="8" t="s">
        <v>2216</v>
      </c>
      <c r="F405" s="8" t="s">
        <v>2834</v>
      </c>
      <c r="G405" s="8" t="s">
        <v>2218</v>
      </c>
      <c r="H405" s="12" t="s">
        <v>195</v>
      </c>
      <c r="I405" s="8" t="s">
        <v>2213</v>
      </c>
      <c r="J405" s="8" t="s">
        <v>2835</v>
      </c>
      <c r="K405" s="8" t="s">
        <v>2215</v>
      </c>
    </row>
    <row r="406" customFormat="false" ht="24.75" hidden="false" customHeight="true" outlineLevel="0" collapsed="false">
      <c r="A406" s="12" t="s">
        <v>573</v>
      </c>
      <c r="B406" s="8" t="s">
        <v>1088</v>
      </c>
      <c r="C406" s="8" t="s">
        <v>2209</v>
      </c>
      <c r="D406" s="12" t="s">
        <v>176</v>
      </c>
      <c r="E406" s="8" t="s">
        <v>2481</v>
      </c>
      <c r="F406" s="8" t="s">
        <v>2836</v>
      </c>
      <c r="G406" s="8" t="s">
        <v>2483</v>
      </c>
      <c r="H406" s="12" t="s">
        <v>194</v>
      </c>
      <c r="I406" s="8" t="s">
        <v>2213</v>
      </c>
      <c r="J406" s="8" t="s">
        <v>2837</v>
      </c>
      <c r="K406" s="8" t="s">
        <v>2485</v>
      </c>
    </row>
    <row r="407" customFormat="false" ht="49.5" hidden="false" customHeight="true" outlineLevel="0" collapsed="false">
      <c r="A407" s="12" t="s">
        <v>573</v>
      </c>
      <c r="B407" s="8" t="s">
        <v>1088</v>
      </c>
      <c r="C407" s="8" t="s">
        <v>2209</v>
      </c>
      <c r="D407" s="12" t="s">
        <v>1982</v>
      </c>
      <c r="E407" s="8" t="s">
        <v>2703</v>
      </c>
      <c r="F407" s="8" t="s">
        <v>2704</v>
      </c>
      <c r="G407" s="8" t="s">
        <v>2705</v>
      </c>
      <c r="H407" s="12" t="s">
        <v>195</v>
      </c>
      <c r="I407" s="8" t="s">
        <v>2706</v>
      </c>
      <c r="J407" s="8" t="s">
        <v>2838</v>
      </c>
      <c r="K407" s="8" t="s">
        <v>2215</v>
      </c>
    </row>
    <row r="408" customFormat="false" ht="14.25" hidden="false" customHeight="false" outlineLevel="0" collapsed="false">
      <c r="A408" s="12" t="s">
        <v>1093</v>
      </c>
      <c r="B408" s="8" t="s">
        <v>1095</v>
      </c>
      <c r="C408" s="8" t="s">
        <v>2209</v>
      </c>
      <c r="D408" s="12" t="s">
        <v>171</v>
      </c>
      <c r="E408" s="8" t="s">
        <v>2221</v>
      </c>
      <c r="F408" s="8" t="s">
        <v>2839</v>
      </c>
      <c r="G408" s="8" t="s">
        <v>2223</v>
      </c>
      <c r="H408" s="12" t="s">
        <v>194</v>
      </c>
      <c r="I408" s="8" t="s">
        <v>2213</v>
      </c>
      <c r="J408" s="8" t="s">
        <v>2840</v>
      </c>
      <c r="K408" s="8" t="s">
        <v>2215</v>
      </c>
    </row>
    <row r="409" customFormat="false" ht="24.75" hidden="false" customHeight="true" outlineLevel="0" collapsed="false">
      <c r="A409" s="12" t="s">
        <v>1093</v>
      </c>
      <c r="B409" s="8" t="s">
        <v>1095</v>
      </c>
      <c r="C409" s="8" t="s">
        <v>2209</v>
      </c>
      <c r="D409" s="12" t="s">
        <v>172</v>
      </c>
      <c r="E409" s="8" t="s">
        <v>2210</v>
      </c>
      <c r="F409" s="8" t="s">
        <v>2841</v>
      </c>
      <c r="G409" s="8" t="s">
        <v>2212</v>
      </c>
      <c r="H409" s="12" t="s">
        <v>194</v>
      </c>
      <c r="I409" s="8" t="s">
        <v>2213</v>
      </c>
      <c r="J409" s="8" t="s">
        <v>2842</v>
      </c>
      <c r="K409" s="8" t="s">
        <v>2215</v>
      </c>
    </row>
    <row r="410" customFormat="false" ht="14.25" hidden="false" customHeight="false" outlineLevel="0" collapsed="false">
      <c r="A410" s="12" t="s">
        <v>1093</v>
      </c>
      <c r="B410" s="8" t="s">
        <v>1095</v>
      </c>
      <c r="C410" s="8" t="s">
        <v>2209</v>
      </c>
      <c r="D410" s="12" t="s">
        <v>173</v>
      </c>
      <c r="E410" s="8" t="s">
        <v>2260</v>
      </c>
      <c r="F410" s="8" t="s">
        <v>2832</v>
      </c>
      <c r="G410" s="8" t="s">
        <v>2262</v>
      </c>
      <c r="H410" s="12" t="s">
        <v>194</v>
      </c>
      <c r="I410" s="8" t="s">
        <v>2213</v>
      </c>
      <c r="J410" s="8" t="s">
        <v>2843</v>
      </c>
      <c r="K410" s="8" t="s">
        <v>2215</v>
      </c>
    </row>
    <row r="411" customFormat="false" ht="24.75" hidden="false" customHeight="true" outlineLevel="0" collapsed="false">
      <c r="A411" s="12" t="s">
        <v>1093</v>
      </c>
      <c r="B411" s="8" t="s">
        <v>1095</v>
      </c>
      <c r="C411" s="8" t="s">
        <v>2209</v>
      </c>
      <c r="D411" s="12" t="s">
        <v>173</v>
      </c>
      <c r="E411" s="8" t="s">
        <v>2260</v>
      </c>
      <c r="F411" s="8" t="s">
        <v>2462</v>
      </c>
      <c r="G411" s="8" t="s">
        <v>2463</v>
      </c>
      <c r="H411" s="12" t="s">
        <v>232</v>
      </c>
      <c r="I411" s="8" t="s">
        <v>2213</v>
      </c>
      <c r="J411" s="8" t="s">
        <v>2844</v>
      </c>
      <c r="K411" s="8" t="s">
        <v>2215</v>
      </c>
    </row>
    <row r="412" customFormat="false" ht="24.75" hidden="false" customHeight="true" outlineLevel="0" collapsed="false">
      <c r="A412" s="12" t="s">
        <v>1098</v>
      </c>
      <c r="B412" s="8" t="s">
        <v>1099</v>
      </c>
      <c r="C412" s="8" t="s">
        <v>2209</v>
      </c>
      <c r="D412" s="12" t="s">
        <v>171</v>
      </c>
      <c r="E412" s="8" t="s">
        <v>2221</v>
      </c>
      <c r="F412" s="8" t="s">
        <v>2845</v>
      </c>
      <c r="G412" s="8" t="s">
        <v>2223</v>
      </c>
      <c r="H412" s="12" t="s">
        <v>194</v>
      </c>
      <c r="I412" s="8" t="s">
        <v>2213</v>
      </c>
      <c r="J412" s="8" t="s">
        <v>2846</v>
      </c>
      <c r="K412" s="8" t="s">
        <v>2215</v>
      </c>
    </row>
    <row r="413" customFormat="false" ht="24.75" hidden="false" customHeight="true" outlineLevel="0" collapsed="false">
      <c r="A413" s="12" t="s">
        <v>1098</v>
      </c>
      <c r="B413" s="8" t="s">
        <v>1099</v>
      </c>
      <c r="C413" s="8" t="s">
        <v>2209</v>
      </c>
      <c r="D413" s="12" t="s">
        <v>171</v>
      </c>
      <c r="E413" s="8" t="s">
        <v>2221</v>
      </c>
      <c r="F413" s="8" t="s">
        <v>2847</v>
      </c>
      <c r="G413" s="8" t="s">
        <v>2223</v>
      </c>
      <c r="H413" s="12" t="s">
        <v>194</v>
      </c>
      <c r="I413" s="8" t="s">
        <v>2213</v>
      </c>
      <c r="J413" s="8" t="s">
        <v>2848</v>
      </c>
      <c r="K413" s="8" t="s">
        <v>2215</v>
      </c>
    </row>
    <row r="414" customFormat="false" ht="24.75" hidden="false" customHeight="true" outlineLevel="0" collapsed="false">
      <c r="A414" s="12" t="s">
        <v>1098</v>
      </c>
      <c r="B414" s="8" t="s">
        <v>1099</v>
      </c>
      <c r="C414" s="8" t="s">
        <v>2209</v>
      </c>
      <c r="D414" s="12" t="s">
        <v>171</v>
      </c>
      <c r="E414" s="8" t="s">
        <v>2221</v>
      </c>
      <c r="F414" s="8" t="s">
        <v>2849</v>
      </c>
      <c r="G414" s="8" t="s">
        <v>2223</v>
      </c>
      <c r="H414" s="12" t="s">
        <v>194</v>
      </c>
      <c r="I414" s="8" t="s">
        <v>2213</v>
      </c>
      <c r="J414" s="8" t="s">
        <v>2850</v>
      </c>
      <c r="K414" s="8" t="s">
        <v>2215</v>
      </c>
    </row>
    <row r="415" customFormat="false" ht="24.75" hidden="false" customHeight="true" outlineLevel="0" collapsed="false">
      <c r="A415" s="12" t="s">
        <v>1098</v>
      </c>
      <c r="B415" s="8" t="s">
        <v>1099</v>
      </c>
      <c r="C415" s="8" t="s">
        <v>2209</v>
      </c>
      <c r="D415" s="12" t="s">
        <v>171</v>
      </c>
      <c r="E415" s="8" t="s">
        <v>2221</v>
      </c>
      <c r="F415" s="8" t="s">
        <v>2851</v>
      </c>
      <c r="G415" s="8" t="s">
        <v>2223</v>
      </c>
      <c r="H415" s="12" t="s">
        <v>194</v>
      </c>
      <c r="I415" s="8" t="s">
        <v>2213</v>
      </c>
      <c r="J415" s="8" t="s">
        <v>2852</v>
      </c>
      <c r="K415" s="8" t="s">
        <v>2215</v>
      </c>
    </row>
    <row r="416" customFormat="false" ht="24.75" hidden="false" customHeight="true" outlineLevel="0" collapsed="false">
      <c r="A416" s="12" t="s">
        <v>1098</v>
      </c>
      <c r="B416" s="8" t="s">
        <v>1099</v>
      </c>
      <c r="C416" s="8" t="s">
        <v>2209</v>
      </c>
      <c r="D416" s="12" t="s">
        <v>171</v>
      </c>
      <c r="E416" s="8" t="s">
        <v>2221</v>
      </c>
      <c r="F416" s="8" t="s">
        <v>2853</v>
      </c>
      <c r="G416" s="8" t="s">
        <v>2223</v>
      </c>
      <c r="H416" s="12" t="s">
        <v>194</v>
      </c>
      <c r="I416" s="8" t="s">
        <v>2213</v>
      </c>
      <c r="J416" s="8" t="s">
        <v>2854</v>
      </c>
      <c r="K416" s="8" t="s">
        <v>2215</v>
      </c>
    </row>
    <row r="417" customFormat="false" ht="24.75" hidden="false" customHeight="true" outlineLevel="0" collapsed="false">
      <c r="A417" s="12" t="s">
        <v>1104</v>
      </c>
      <c r="B417" s="8" t="s">
        <v>1105</v>
      </c>
      <c r="C417" s="8" t="s">
        <v>2209</v>
      </c>
      <c r="D417" s="12" t="s">
        <v>171</v>
      </c>
      <c r="E417" s="8" t="s">
        <v>2221</v>
      </c>
      <c r="F417" s="8" t="s">
        <v>2855</v>
      </c>
      <c r="G417" s="8" t="s">
        <v>2223</v>
      </c>
      <c r="H417" s="12" t="s">
        <v>194</v>
      </c>
      <c r="I417" s="8" t="s">
        <v>2213</v>
      </c>
      <c r="J417" s="8" t="s">
        <v>2856</v>
      </c>
      <c r="K417" s="8" t="s">
        <v>2215</v>
      </c>
    </row>
    <row r="418" customFormat="false" ht="24.75" hidden="false" customHeight="true" outlineLevel="0" collapsed="false">
      <c r="A418" s="12" t="s">
        <v>1109</v>
      </c>
      <c r="B418" s="8" t="s">
        <v>1110</v>
      </c>
      <c r="C418" s="8" t="s">
        <v>2209</v>
      </c>
      <c r="D418" s="12" t="s">
        <v>171</v>
      </c>
      <c r="E418" s="8" t="s">
        <v>2221</v>
      </c>
      <c r="F418" s="8" t="s">
        <v>2857</v>
      </c>
      <c r="G418" s="8" t="s">
        <v>2223</v>
      </c>
      <c r="H418" s="12" t="s">
        <v>194</v>
      </c>
      <c r="I418" s="8" t="s">
        <v>2213</v>
      </c>
      <c r="J418" s="8" t="s">
        <v>2858</v>
      </c>
      <c r="K418" s="8" t="s">
        <v>2215</v>
      </c>
    </row>
    <row r="419" customFormat="false" ht="24.75" hidden="false" customHeight="true" outlineLevel="0" collapsed="false">
      <c r="A419" s="12" t="s">
        <v>1113</v>
      </c>
      <c r="B419" s="8" t="s">
        <v>1116</v>
      </c>
      <c r="C419" s="8" t="s">
        <v>2209</v>
      </c>
      <c r="D419" s="12" t="s">
        <v>171</v>
      </c>
      <c r="E419" s="8" t="s">
        <v>2221</v>
      </c>
      <c r="F419" s="8" t="s">
        <v>2859</v>
      </c>
      <c r="G419" s="8" t="s">
        <v>2223</v>
      </c>
      <c r="H419" s="12" t="s">
        <v>194</v>
      </c>
      <c r="I419" s="8" t="s">
        <v>2213</v>
      </c>
      <c r="J419" s="8" t="s">
        <v>2860</v>
      </c>
      <c r="K419" s="8" t="s">
        <v>2215</v>
      </c>
    </row>
    <row r="420" customFormat="false" ht="49.5" hidden="false" customHeight="true" outlineLevel="0" collapsed="false">
      <c r="A420" s="12" t="s">
        <v>1113</v>
      </c>
      <c r="B420" s="8" t="s">
        <v>1116</v>
      </c>
      <c r="C420" s="8" t="s">
        <v>2209</v>
      </c>
      <c r="D420" s="12" t="s">
        <v>172</v>
      </c>
      <c r="E420" s="8" t="s">
        <v>2210</v>
      </c>
      <c r="F420" s="8" t="s">
        <v>2252</v>
      </c>
      <c r="G420" s="8" t="s">
        <v>2212</v>
      </c>
      <c r="H420" s="12" t="s">
        <v>194</v>
      </c>
      <c r="I420" s="8" t="s">
        <v>2213</v>
      </c>
      <c r="J420" s="8" t="s">
        <v>2861</v>
      </c>
      <c r="K420" s="8" t="s">
        <v>2215</v>
      </c>
    </row>
    <row r="421" customFormat="false" ht="24.75" hidden="false" customHeight="true" outlineLevel="0" collapsed="false">
      <c r="A421" s="12" t="s">
        <v>1113</v>
      </c>
      <c r="B421" s="8" t="s">
        <v>1116</v>
      </c>
      <c r="C421" s="8" t="s">
        <v>2209</v>
      </c>
      <c r="D421" s="12" t="s">
        <v>173</v>
      </c>
      <c r="E421" s="8" t="s">
        <v>2260</v>
      </c>
      <c r="F421" s="8" t="s">
        <v>2462</v>
      </c>
      <c r="G421" s="8" t="s">
        <v>2463</v>
      </c>
      <c r="H421" s="12" t="s">
        <v>232</v>
      </c>
      <c r="I421" s="8" t="s">
        <v>2213</v>
      </c>
      <c r="J421" s="8" t="s">
        <v>2862</v>
      </c>
      <c r="K421" s="8" t="s">
        <v>2215</v>
      </c>
    </row>
    <row r="422" customFormat="false" ht="24.75" hidden="false" customHeight="true" outlineLevel="0" collapsed="false">
      <c r="A422" s="12" t="s">
        <v>1113</v>
      </c>
      <c r="B422" s="8" t="s">
        <v>1116</v>
      </c>
      <c r="C422" s="8" t="s">
        <v>2209</v>
      </c>
      <c r="D422" s="12" t="s">
        <v>176</v>
      </c>
      <c r="E422" s="8" t="s">
        <v>2481</v>
      </c>
      <c r="F422" s="8" t="s">
        <v>2863</v>
      </c>
      <c r="G422" s="8" t="s">
        <v>2483</v>
      </c>
      <c r="H422" s="12" t="s">
        <v>194</v>
      </c>
      <c r="I422" s="8" t="s">
        <v>2213</v>
      </c>
      <c r="J422" s="8" t="s">
        <v>2864</v>
      </c>
      <c r="K422" s="8" t="s">
        <v>2485</v>
      </c>
    </row>
    <row r="423" customFormat="false" ht="24.75" hidden="false" customHeight="true" outlineLevel="0" collapsed="false">
      <c r="A423" s="12" t="s">
        <v>1119</v>
      </c>
      <c r="B423" s="8" t="s">
        <v>1120</v>
      </c>
      <c r="C423" s="8" t="s">
        <v>2209</v>
      </c>
      <c r="D423" s="12" t="s">
        <v>172</v>
      </c>
      <c r="E423" s="8" t="s">
        <v>2210</v>
      </c>
      <c r="F423" s="8" t="s">
        <v>2865</v>
      </c>
      <c r="G423" s="8" t="s">
        <v>2212</v>
      </c>
      <c r="H423" s="12" t="s">
        <v>194</v>
      </c>
      <c r="I423" s="8" t="s">
        <v>2213</v>
      </c>
      <c r="J423" s="8" t="s">
        <v>2866</v>
      </c>
      <c r="K423" s="8" t="s">
        <v>2215</v>
      </c>
    </row>
    <row r="424" customFormat="false" ht="14.25" hidden="false" customHeight="false" outlineLevel="0" collapsed="false">
      <c r="A424" s="12" t="s">
        <v>1123</v>
      </c>
      <c r="B424" s="8" t="s">
        <v>1124</v>
      </c>
      <c r="C424" s="8" t="s">
        <v>2209</v>
      </c>
      <c r="D424" s="12" t="s">
        <v>171</v>
      </c>
      <c r="E424" s="8" t="s">
        <v>2221</v>
      </c>
      <c r="F424" s="8" t="s">
        <v>2867</v>
      </c>
      <c r="G424" s="8" t="s">
        <v>2223</v>
      </c>
      <c r="H424" s="12" t="s">
        <v>194</v>
      </c>
      <c r="I424" s="8" t="s">
        <v>2213</v>
      </c>
      <c r="J424" s="8" t="s">
        <v>2868</v>
      </c>
      <c r="K424" s="8" t="s">
        <v>2215</v>
      </c>
    </row>
    <row r="425" customFormat="false" ht="24.75" hidden="false" customHeight="true" outlineLevel="0" collapsed="false">
      <c r="A425" s="12" t="s">
        <v>1123</v>
      </c>
      <c r="B425" s="8" t="s">
        <v>1124</v>
      </c>
      <c r="C425" s="8" t="s">
        <v>2209</v>
      </c>
      <c r="D425" s="12" t="s">
        <v>173</v>
      </c>
      <c r="E425" s="8" t="s">
        <v>2260</v>
      </c>
      <c r="F425" s="8" t="s">
        <v>2462</v>
      </c>
      <c r="G425" s="8" t="s">
        <v>2463</v>
      </c>
      <c r="H425" s="12" t="s">
        <v>232</v>
      </c>
      <c r="I425" s="8" t="s">
        <v>2213</v>
      </c>
      <c r="J425" s="8" t="s">
        <v>2869</v>
      </c>
      <c r="K425" s="8" t="s">
        <v>2215</v>
      </c>
    </row>
    <row r="426" customFormat="false" ht="24.75" hidden="false" customHeight="true" outlineLevel="0" collapsed="false">
      <c r="A426" s="12" t="s">
        <v>1123</v>
      </c>
      <c r="B426" s="8" t="s">
        <v>1124</v>
      </c>
      <c r="C426" s="8" t="s">
        <v>2209</v>
      </c>
      <c r="D426" s="12" t="s">
        <v>176</v>
      </c>
      <c r="E426" s="8" t="s">
        <v>2481</v>
      </c>
      <c r="F426" s="8" t="s">
        <v>2870</v>
      </c>
      <c r="G426" s="8" t="s">
        <v>2483</v>
      </c>
      <c r="H426" s="12" t="s">
        <v>194</v>
      </c>
      <c r="I426" s="8" t="s">
        <v>2213</v>
      </c>
      <c r="J426" s="8" t="s">
        <v>2871</v>
      </c>
      <c r="K426" s="8" t="s">
        <v>2485</v>
      </c>
    </row>
    <row r="427" customFormat="false" ht="24.75" hidden="false" customHeight="true" outlineLevel="0" collapsed="false">
      <c r="A427" s="12" t="s">
        <v>1127</v>
      </c>
      <c r="B427" s="8" t="s">
        <v>1129</v>
      </c>
      <c r="C427" s="8" t="s">
        <v>2209</v>
      </c>
      <c r="D427" s="12" t="s">
        <v>171</v>
      </c>
      <c r="E427" s="8" t="s">
        <v>2221</v>
      </c>
      <c r="F427" s="8" t="s">
        <v>2323</v>
      </c>
      <c r="G427" s="8" t="s">
        <v>2223</v>
      </c>
      <c r="H427" s="12" t="s">
        <v>194</v>
      </c>
      <c r="I427" s="8" t="s">
        <v>2213</v>
      </c>
      <c r="J427" s="8" t="s">
        <v>2324</v>
      </c>
      <c r="K427" s="8" t="s">
        <v>2215</v>
      </c>
    </row>
    <row r="428" customFormat="false" ht="24.75" hidden="false" customHeight="true" outlineLevel="0" collapsed="false">
      <c r="A428" s="12" t="s">
        <v>1127</v>
      </c>
      <c r="B428" s="8" t="s">
        <v>1129</v>
      </c>
      <c r="C428" s="8" t="s">
        <v>2209</v>
      </c>
      <c r="D428" s="12" t="s">
        <v>173</v>
      </c>
      <c r="E428" s="8" t="s">
        <v>2260</v>
      </c>
      <c r="F428" s="8" t="s">
        <v>2872</v>
      </c>
      <c r="G428" s="8" t="s">
        <v>2262</v>
      </c>
      <c r="H428" s="12" t="s">
        <v>194</v>
      </c>
      <c r="I428" s="8" t="s">
        <v>2213</v>
      </c>
      <c r="J428" s="8" t="s">
        <v>2873</v>
      </c>
      <c r="K428" s="8" t="s">
        <v>2215</v>
      </c>
    </row>
    <row r="429" customFormat="false" ht="24.75" hidden="false" customHeight="true" outlineLevel="0" collapsed="false">
      <c r="A429" s="12" t="s">
        <v>1127</v>
      </c>
      <c r="B429" s="8" t="s">
        <v>1129</v>
      </c>
      <c r="C429" s="8" t="s">
        <v>2209</v>
      </c>
      <c r="D429" s="12" t="s">
        <v>173</v>
      </c>
      <c r="E429" s="8" t="s">
        <v>2260</v>
      </c>
      <c r="F429" s="8" t="s">
        <v>2462</v>
      </c>
      <c r="G429" s="8" t="s">
        <v>2463</v>
      </c>
      <c r="H429" s="12" t="s">
        <v>232</v>
      </c>
      <c r="I429" s="8" t="s">
        <v>2213</v>
      </c>
      <c r="J429" s="8" t="s">
        <v>2874</v>
      </c>
      <c r="K429" s="8" t="s">
        <v>2215</v>
      </c>
    </row>
    <row r="430" customFormat="false" ht="24.75" hidden="false" customHeight="true" outlineLevel="0" collapsed="false">
      <c r="A430" s="12" t="s">
        <v>1134</v>
      </c>
      <c r="B430" s="8" t="s">
        <v>1136</v>
      </c>
      <c r="C430" s="8" t="s">
        <v>2209</v>
      </c>
      <c r="D430" s="12" t="s">
        <v>171</v>
      </c>
      <c r="E430" s="8" t="s">
        <v>2221</v>
      </c>
      <c r="F430" s="8" t="s">
        <v>2875</v>
      </c>
      <c r="G430" s="8" t="s">
        <v>2223</v>
      </c>
      <c r="H430" s="12" t="s">
        <v>194</v>
      </c>
      <c r="I430" s="8" t="s">
        <v>2213</v>
      </c>
      <c r="J430" s="8" t="s">
        <v>2876</v>
      </c>
      <c r="K430" s="8" t="s">
        <v>2215</v>
      </c>
    </row>
    <row r="431" customFormat="false" ht="24.75" hidden="false" customHeight="true" outlineLevel="0" collapsed="false">
      <c r="A431" s="12" t="s">
        <v>1134</v>
      </c>
      <c r="B431" s="8" t="s">
        <v>1136</v>
      </c>
      <c r="C431" s="8" t="s">
        <v>2209</v>
      </c>
      <c r="D431" s="12" t="s">
        <v>171</v>
      </c>
      <c r="E431" s="8" t="s">
        <v>2221</v>
      </c>
      <c r="F431" s="8" t="s">
        <v>2877</v>
      </c>
      <c r="G431" s="8" t="s">
        <v>2223</v>
      </c>
      <c r="H431" s="12" t="s">
        <v>194</v>
      </c>
      <c r="I431" s="8" t="s">
        <v>2213</v>
      </c>
      <c r="J431" s="8" t="s">
        <v>2878</v>
      </c>
      <c r="K431" s="8" t="s">
        <v>2215</v>
      </c>
    </row>
    <row r="432" customFormat="false" ht="24.75" hidden="false" customHeight="true" outlineLevel="0" collapsed="false">
      <c r="A432" s="12" t="s">
        <v>1134</v>
      </c>
      <c r="B432" s="8" t="s">
        <v>1136</v>
      </c>
      <c r="C432" s="8" t="s">
        <v>2209</v>
      </c>
      <c r="D432" s="12" t="s">
        <v>171</v>
      </c>
      <c r="E432" s="8" t="s">
        <v>2221</v>
      </c>
      <c r="F432" s="8" t="s">
        <v>2879</v>
      </c>
      <c r="G432" s="8" t="s">
        <v>2223</v>
      </c>
      <c r="H432" s="12" t="s">
        <v>194</v>
      </c>
      <c r="I432" s="8" t="s">
        <v>2213</v>
      </c>
      <c r="J432" s="8" t="s">
        <v>2880</v>
      </c>
      <c r="K432" s="8" t="s">
        <v>2215</v>
      </c>
    </row>
    <row r="433" customFormat="false" ht="24.75" hidden="false" customHeight="true" outlineLevel="0" collapsed="false">
      <c r="A433" s="12" t="s">
        <v>1141</v>
      </c>
      <c r="B433" s="8" t="s">
        <v>1144</v>
      </c>
      <c r="C433" s="8" t="s">
        <v>2209</v>
      </c>
      <c r="D433" s="12" t="s">
        <v>171</v>
      </c>
      <c r="E433" s="8" t="s">
        <v>2221</v>
      </c>
      <c r="F433" s="8" t="s">
        <v>2881</v>
      </c>
      <c r="G433" s="8" t="s">
        <v>2223</v>
      </c>
      <c r="H433" s="12" t="s">
        <v>194</v>
      </c>
      <c r="I433" s="8" t="s">
        <v>2213</v>
      </c>
      <c r="J433" s="8" t="s">
        <v>2882</v>
      </c>
      <c r="K433" s="8" t="s">
        <v>2215</v>
      </c>
    </row>
    <row r="434" customFormat="false" ht="24.75" hidden="false" customHeight="true" outlineLevel="0" collapsed="false">
      <c r="A434" s="12" t="s">
        <v>1141</v>
      </c>
      <c r="B434" s="8" t="s">
        <v>1144</v>
      </c>
      <c r="C434" s="8" t="s">
        <v>2209</v>
      </c>
      <c r="D434" s="12" t="s">
        <v>171</v>
      </c>
      <c r="E434" s="8" t="s">
        <v>2221</v>
      </c>
      <c r="F434" s="8" t="s">
        <v>2443</v>
      </c>
      <c r="G434" s="8" t="s">
        <v>2223</v>
      </c>
      <c r="H434" s="12" t="s">
        <v>194</v>
      </c>
      <c r="I434" s="8" t="s">
        <v>2213</v>
      </c>
      <c r="J434" s="8" t="s">
        <v>2444</v>
      </c>
      <c r="K434" s="8" t="s">
        <v>2215</v>
      </c>
    </row>
    <row r="435" customFormat="false" ht="24.75" hidden="false" customHeight="true" outlineLevel="0" collapsed="false">
      <c r="A435" s="12" t="s">
        <v>1141</v>
      </c>
      <c r="B435" s="8" t="s">
        <v>1144</v>
      </c>
      <c r="C435" s="8" t="s">
        <v>2209</v>
      </c>
      <c r="D435" s="12" t="s">
        <v>171</v>
      </c>
      <c r="E435" s="8" t="s">
        <v>2221</v>
      </c>
      <c r="F435" s="8" t="s">
        <v>2883</v>
      </c>
      <c r="G435" s="8" t="s">
        <v>2223</v>
      </c>
      <c r="H435" s="12" t="s">
        <v>194</v>
      </c>
      <c r="I435" s="8" t="s">
        <v>2213</v>
      </c>
      <c r="J435" s="8" t="s">
        <v>2884</v>
      </c>
      <c r="K435" s="8" t="s">
        <v>2215</v>
      </c>
    </row>
    <row r="436" customFormat="false" ht="24.75" hidden="false" customHeight="true" outlineLevel="0" collapsed="false">
      <c r="A436" s="12" t="s">
        <v>1141</v>
      </c>
      <c r="B436" s="8" t="s">
        <v>1144</v>
      </c>
      <c r="C436" s="8" t="s">
        <v>2209</v>
      </c>
      <c r="D436" s="12" t="s">
        <v>171</v>
      </c>
      <c r="E436" s="8" t="s">
        <v>2221</v>
      </c>
      <c r="F436" s="8" t="s">
        <v>2885</v>
      </c>
      <c r="G436" s="8" t="s">
        <v>2223</v>
      </c>
      <c r="H436" s="12" t="s">
        <v>194</v>
      </c>
      <c r="I436" s="8" t="s">
        <v>2213</v>
      </c>
      <c r="J436" s="8" t="s">
        <v>2886</v>
      </c>
      <c r="K436" s="8" t="s">
        <v>2215</v>
      </c>
    </row>
    <row r="437" customFormat="false" ht="37.5" hidden="false" customHeight="true" outlineLevel="0" collapsed="false">
      <c r="A437" s="12" t="s">
        <v>1141</v>
      </c>
      <c r="B437" s="8" t="s">
        <v>1144</v>
      </c>
      <c r="C437" s="8" t="s">
        <v>2209</v>
      </c>
      <c r="D437" s="12" t="s">
        <v>172</v>
      </c>
      <c r="E437" s="8" t="s">
        <v>2210</v>
      </c>
      <c r="F437" s="8" t="s">
        <v>2426</v>
      </c>
      <c r="G437" s="8" t="s">
        <v>2212</v>
      </c>
      <c r="H437" s="12" t="s">
        <v>194</v>
      </c>
      <c r="I437" s="8" t="s">
        <v>2213</v>
      </c>
      <c r="J437" s="8" t="s">
        <v>2887</v>
      </c>
      <c r="K437" s="8" t="s">
        <v>2215</v>
      </c>
    </row>
    <row r="438" customFormat="false" ht="37.5" hidden="false" customHeight="true" outlineLevel="0" collapsed="false">
      <c r="A438" s="12" t="s">
        <v>1141</v>
      </c>
      <c r="B438" s="8" t="s">
        <v>1144</v>
      </c>
      <c r="C438" s="8" t="s">
        <v>2209</v>
      </c>
      <c r="D438" s="12" t="s">
        <v>175</v>
      </c>
      <c r="E438" s="8" t="s">
        <v>2237</v>
      </c>
      <c r="F438" s="8" t="s">
        <v>2256</v>
      </c>
      <c r="G438" s="8" t="s">
        <v>2239</v>
      </c>
      <c r="H438" s="12" t="s">
        <v>194</v>
      </c>
      <c r="I438" s="8" t="s">
        <v>2213</v>
      </c>
      <c r="J438" s="8" t="s">
        <v>2793</v>
      </c>
      <c r="K438" s="8" t="s">
        <v>2215</v>
      </c>
    </row>
    <row r="439" customFormat="false" ht="24.75" hidden="false" customHeight="true" outlineLevel="0" collapsed="false">
      <c r="A439" s="12" t="s">
        <v>1141</v>
      </c>
      <c r="B439" s="8" t="s">
        <v>1144</v>
      </c>
      <c r="C439" s="8" t="s">
        <v>2209</v>
      </c>
      <c r="D439" s="12" t="s">
        <v>176</v>
      </c>
      <c r="E439" s="8" t="s">
        <v>2481</v>
      </c>
      <c r="F439" s="8" t="s">
        <v>2888</v>
      </c>
      <c r="G439" s="8" t="s">
        <v>2483</v>
      </c>
      <c r="H439" s="12" t="s">
        <v>194</v>
      </c>
      <c r="I439" s="8" t="s">
        <v>2213</v>
      </c>
      <c r="J439" s="8" t="s">
        <v>2889</v>
      </c>
      <c r="K439" s="8" t="s">
        <v>2485</v>
      </c>
    </row>
    <row r="440" customFormat="false" ht="24.75" hidden="false" customHeight="true" outlineLevel="0" collapsed="false">
      <c r="A440" s="12" t="s">
        <v>1148</v>
      </c>
      <c r="B440" s="8" t="s">
        <v>1150</v>
      </c>
      <c r="C440" s="8" t="s">
        <v>2209</v>
      </c>
      <c r="D440" s="12" t="s">
        <v>171</v>
      </c>
      <c r="E440" s="8" t="s">
        <v>2221</v>
      </c>
      <c r="F440" s="8" t="s">
        <v>2890</v>
      </c>
      <c r="G440" s="8" t="s">
        <v>2223</v>
      </c>
      <c r="H440" s="12" t="s">
        <v>194</v>
      </c>
      <c r="I440" s="8" t="s">
        <v>2213</v>
      </c>
      <c r="J440" s="8" t="s">
        <v>2891</v>
      </c>
      <c r="K440" s="8" t="s">
        <v>2215</v>
      </c>
    </row>
    <row r="441" customFormat="false" ht="14.25" hidden="false" customHeight="false" outlineLevel="0" collapsed="false">
      <c r="A441" s="12" t="s">
        <v>1148</v>
      </c>
      <c r="B441" s="8" t="s">
        <v>1150</v>
      </c>
      <c r="C441" s="8" t="s">
        <v>2209</v>
      </c>
      <c r="D441" s="12" t="s">
        <v>171</v>
      </c>
      <c r="E441" s="8" t="s">
        <v>2221</v>
      </c>
      <c r="F441" s="8" t="s">
        <v>2892</v>
      </c>
      <c r="G441" s="8" t="s">
        <v>2223</v>
      </c>
      <c r="H441" s="12" t="s">
        <v>194</v>
      </c>
      <c r="I441" s="8" t="s">
        <v>2213</v>
      </c>
      <c r="J441" s="8" t="s">
        <v>2893</v>
      </c>
      <c r="K441" s="8" t="s">
        <v>2215</v>
      </c>
    </row>
    <row r="442" customFormat="false" ht="14.25" hidden="false" customHeight="false" outlineLevel="0" collapsed="false">
      <c r="A442" s="12" t="s">
        <v>1148</v>
      </c>
      <c r="B442" s="8" t="s">
        <v>1150</v>
      </c>
      <c r="C442" s="8" t="s">
        <v>2209</v>
      </c>
      <c r="D442" s="12" t="s">
        <v>171</v>
      </c>
      <c r="E442" s="8" t="s">
        <v>2221</v>
      </c>
      <c r="F442" s="8" t="s">
        <v>2894</v>
      </c>
      <c r="G442" s="8" t="s">
        <v>2223</v>
      </c>
      <c r="H442" s="12" t="s">
        <v>194</v>
      </c>
      <c r="I442" s="8" t="s">
        <v>2213</v>
      </c>
      <c r="J442" s="8" t="s">
        <v>2895</v>
      </c>
      <c r="K442" s="8" t="s">
        <v>2215</v>
      </c>
    </row>
    <row r="443" customFormat="false" ht="14.25" hidden="false" customHeight="false" outlineLevel="0" collapsed="false">
      <c r="A443" s="12" t="s">
        <v>1148</v>
      </c>
      <c r="B443" s="8" t="s">
        <v>1150</v>
      </c>
      <c r="C443" s="8" t="s">
        <v>2209</v>
      </c>
      <c r="D443" s="12" t="s">
        <v>171</v>
      </c>
      <c r="E443" s="8" t="s">
        <v>2221</v>
      </c>
      <c r="F443" s="8" t="s">
        <v>2896</v>
      </c>
      <c r="G443" s="8" t="s">
        <v>2223</v>
      </c>
      <c r="H443" s="12" t="s">
        <v>194</v>
      </c>
      <c r="I443" s="8" t="s">
        <v>2213</v>
      </c>
      <c r="J443" s="8" t="s">
        <v>2897</v>
      </c>
      <c r="K443" s="8" t="s">
        <v>2215</v>
      </c>
    </row>
    <row r="444" customFormat="false" ht="14.25" hidden="false" customHeight="false" outlineLevel="0" collapsed="false">
      <c r="A444" s="12" t="s">
        <v>1148</v>
      </c>
      <c r="B444" s="8" t="s">
        <v>1150</v>
      </c>
      <c r="C444" s="8" t="s">
        <v>2209</v>
      </c>
      <c r="D444" s="12" t="s">
        <v>171</v>
      </c>
      <c r="E444" s="8" t="s">
        <v>2221</v>
      </c>
      <c r="F444" s="8" t="s">
        <v>2898</v>
      </c>
      <c r="G444" s="8" t="s">
        <v>2397</v>
      </c>
      <c r="H444" s="12" t="s">
        <v>232</v>
      </c>
      <c r="I444" s="8" t="s">
        <v>2213</v>
      </c>
      <c r="J444" s="8" t="s">
        <v>2899</v>
      </c>
      <c r="K444" s="8" t="s">
        <v>2215</v>
      </c>
    </row>
    <row r="445" customFormat="false" ht="14.25" hidden="false" customHeight="false" outlineLevel="0" collapsed="false">
      <c r="A445" s="12" t="s">
        <v>1148</v>
      </c>
      <c r="B445" s="8" t="s">
        <v>1150</v>
      </c>
      <c r="C445" s="8" t="s">
        <v>2209</v>
      </c>
      <c r="D445" s="12" t="s">
        <v>171</v>
      </c>
      <c r="E445" s="8" t="s">
        <v>2221</v>
      </c>
      <c r="F445" s="8" t="s">
        <v>2900</v>
      </c>
      <c r="G445" s="8" t="s">
        <v>2397</v>
      </c>
      <c r="H445" s="12" t="s">
        <v>232</v>
      </c>
      <c r="I445" s="8" t="s">
        <v>2213</v>
      </c>
      <c r="J445" s="8" t="s">
        <v>2901</v>
      </c>
      <c r="K445" s="8" t="s">
        <v>2215</v>
      </c>
    </row>
    <row r="446" customFormat="false" ht="14.25" hidden="false" customHeight="false" outlineLevel="0" collapsed="false">
      <c r="A446" s="12" t="s">
        <v>1154</v>
      </c>
      <c r="B446" s="8" t="s">
        <v>1155</v>
      </c>
      <c r="C446" s="8" t="s">
        <v>2209</v>
      </c>
      <c r="D446" s="12" t="s">
        <v>171</v>
      </c>
      <c r="E446" s="8" t="s">
        <v>2221</v>
      </c>
      <c r="F446" s="8" t="s">
        <v>2902</v>
      </c>
      <c r="G446" s="8" t="s">
        <v>2408</v>
      </c>
      <c r="H446" s="12" t="s">
        <v>194</v>
      </c>
      <c r="I446" s="8" t="s">
        <v>2213</v>
      </c>
      <c r="J446" s="8" t="s">
        <v>2903</v>
      </c>
      <c r="K446" s="8" t="s">
        <v>2215</v>
      </c>
    </row>
    <row r="447" customFormat="false" ht="24.75" hidden="false" customHeight="true" outlineLevel="0" collapsed="false">
      <c r="A447" s="12" t="s">
        <v>1154</v>
      </c>
      <c r="B447" s="8" t="s">
        <v>1155</v>
      </c>
      <c r="C447" s="8" t="s">
        <v>2209</v>
      </c>
      <c r="D447" s="12" t="s">
        <v>171</v>
      </c>
      <c r="E447" s="8" t="s">
        <v>2221</v>
      </c>
      <c r="F447" s="8" t="s">
        <v>2332</v>
      </c>
      <c r="G447" s="8" t="s">
        <v>2223</v>
      </c>
      <c r="H447" s="12" t="s">
        <v>194</v>
      </c>
      <c r="I447" s="8" t="s">
        <v>2213</v>
      </c>
      <c r="J447" s="8" t="s">
        <v>2333</v>
      </c>
      <c r="K447" s="8" t="s">
        <v>2215</v>
      </c>
    </row>
    <row r="448" customFormat="false" ht="24.75" hidden="false" customHeight="true" outlineLevel="0" collapsed="false">
      <c r="A448" s="12" t="s">
        <v>1159</v>
      </c>
      <c r="B448" s="8" t="s">
        <v>1160</v>
      </c>
      <c r="C448" s="8" t="s">
        <v>2209</v>
      </c>
      <c r="D448" s="12" t="s">
        <v>171</v>
      </c>
      <c r="E448" s="8" t="s">
        <v>2221</v>
      </c>
      <c r="F448" s="8" t="s">
        <v>2904</v>
      </c>
      <c r="G448" s="8" t="s">
        <v>2223</v>
      </c>
      <c r="H448" s="12" t="s">
        <v>194</v>
      </c>
      <c r="I448" s="8" t="s">
        <v>2213</v>
      </c>
      <c r="J448" s="8" t="s">
        <v>2905</v>
      </c>
      <c r="K448" s="8" t="s">
        <v>2215</v>
      </c>
    </row>
    <row r="449" customFormat="false" ht="24.75" hidden="false" customHeight="true" outlineLevel="0" collapsed="false">
      <c r="A449" s="12" t="s">
        <v>1159</v>
      </c>
      <c r="B449" s="8" t="s">
        <v>1160</v>
      </c>
      <c r="C449" s="8" t="s">
        <v>2209</v>
      </c>
      <c r="D449" s="12" t="s">
        <v>171</v>
      </c>
      <c r="E449" s="8" t="s">
        <v>2221</v>
      </c>
      <c r="F449" s="8" t="s">
        <v>2906</v>
      </c>
      <c r="G449" s="8" t="s">
        <v>2223</v>
      </c>
      <c r="H449" s="12" t="s">
        <v>194</v>
      </c>
      <c r="I449" s="8" t="s">
        <v>2213</v>
      </c>
      <c r="J449" s="8" t="s">
        <v>2907</v>
      </c>
      <c r="K449" s="8" t="s">
        <v>2215</v>
      </c>
    </row>
    <row r="450" customFormat="false" ht="24.75" hidden="false" customHeight="true" outlineLevel="0" collapsed="false">
      <c r="A450" s="12" t="s">
        <v>1159</v>
      </c>
      <c r="B450" s="8" t="s">
        <v>1160</v>
      </c>
      <c r="C450" s="8" t="s">
        <v>2209</v>
      </c>
      <c r="D450" s="12" t="s">
        <v>172</v>
      </c>
      <c r="E450" s="8" t="s">
        <v>2210</v>
      </c>
      <c r="F450" s="8" t="s">
        <v>2227</v>
      </c>
      <c r="G450" s="8" t="s">
        <v>2212</v>
      </c>
      <c r="H450" s="12" t="s">
        <v>194</v>
      </c>
      <c r="I450" s="8" t="s">
        <v>2213</v>
      </c>
      <c r="J450" s="8" t="s">
        <v>2908</v>
      </c>
      <c r="K450" s="8" t="s">
        <v>2215</v>
      </c>
    </row>
    <row r="451" customFormat="false" ht="14.25" hidden="false" customHeight="false" outlineLevel="0" collapsed="false">
      <c r="A451" s="12" t="s">
        <v>1164</v>
      </c>
      <c r="B451" s="8" t="s">
        <v>1166</v>
      </c>
      <c r="C451" s="8" t="s">
        <v>2209</v>
      </c>
      <c r="D451" s="12" t="s">
        <v>171</v>
      </c>
      <c r="E451" s="8" t="s">
        <v>2221</v>
      </c>
      <c r="F451" s="8" t="s">
        <v>2909</v>
      </c>
      <c r="G451" s="8" t="s">
        <v>2223</v>
      </c>
      <c r="H451" s="12" t="s">
        <v>194</v>
      </c>
      <c r="I451" s="8" t="s">
        <v>2213</v>
      </c>
      <c r="J451" s="8" t="s">
        <v>2910</v>
      </c>
      <c r="K451" s="8" t="s">
        <v>2215</v>
      </c>
    </row>
    <row r="452" customFormat="false" ht="14.25" hidden="false" customHeight="false" outlineLevel="0" collapsed="false">
      <c r="A452" s="12" t="s">
        <v>1164</v>
      </c>
      <c r="B452" s="8" t="s">
        <v>1166</v>
      </c>
      <c r="C452" s="8" t="s">
        <v>2209</v>
      </c>
      <c r="D452" s="12" t="s">
        <v>171</v>
      </c>
      <c r="E452" s="8" t="s">
        <v>2221</v>
      </c>
      <c r="F452" s="8" t="s">
        <v>2911</v>
      </c>
      <c r="G452" s="8" t="s">
        <v>2223</v>
      </c>
      <c r="H452" s="12" t="s">
        <v>194</v>
      </c>
      <c r="I452" s="8" t="s">
        <v>2213</v>
      </c>
      <c r="J452" s="8" t="s">
        <v>2912</v>
      </c>
      <c r="K452" s="8" t="s">
        <v>2215</v>
      </c>
    </row>
    <row r="453" customFormat="false" ht="24.75" hidden="false" customHeight="true" outlineLevel="0" collapsed="false">
      <c r="A453" s="12" t="s">
        <v>1164</v>
      </c>
      <c r="B453" s="8" t="s">
        <v>1166</v>
      </c>
      <c r="C453" s="8" t="s">
        <v>2209</v>
      </c>
      <c r="D453" s="12" t="s">
        <v>171</v>
      </c>
      <c r="E453" s="8" t="s">
        <v>2221</v>
      </c>
      <c r="F453" s="8" t="s">
        <v>2913</v>
      </c>
      <c r="G453" s="8" t="s">
        <v>2223</v>
      </c>
      <c r="H453" s="12" t="s">
        <v>194</v>
      </c>
      <c r="I453" s="8" t="s">
        <v>2213</v>
      </c>
      <c r="J453" s="8" t="s">
        <v>2914</v>
      </c>
      <c r="K453" s="8" t="s">
        <v>2215</v>
      </c>
    </row>
    <row r="454" customFormat="false" ht="14.25" hidden="false" customHeight="false" outlineLevel="0" collapsed="false">
      <c r="A454" s="12" t="s">
        <v>1164</v>
      </c>
      <c r="B454" s="8" t="s">
        <v>1166</v>
      </c>
      <c r="C454" s="8" t="s">
        <v>2209</v>
      </c>
      <c r="D454" s="12" t="s">
        <v>171</v>
      </c>
      <c r="E454" s="8" t="s">
        <v>2221</v>
      </c>
      <c r="F454" s="8" t="s">
        <v>2915</v>
      </c>
      <c r="G454" s="8" t="s">
        <v>2223</v>
      </c>
      <c r="H454" s="12" t="s">
        <v>194</v>
      </c>
      <c r="I454" s="8" t="s">
        <v>2213</v>
      </c>
      <c r="J454" s="8" t="s">
        <v>2916</v>
      </c>
      <c r="K454" s="8" t="s">
        <v>2215</v>
      </c>
    </row>
    <row r="455" customFormat="false" ht="49.5" hidden="false" customHeight="true" outlineLevel="0" collapsed="false">
      <c r="A455" s="12" t="s">
        <v>1164</v>
      </c>
      <c r="B455" s="8" t="s">
        <v>1166</v>
      </c>
      <c r="C455" s="8" t="s">
        <v>2209</v>
      </c>
      <c r="D455" s="12" t="s">
        <v>172</v>
      </c>
      <c r="E455" s="8" t="s">
        <v>2210</v>
      </c>
      <c r="F455" s="8" t="s">
        <v>2211</v>
      </c>
      <c r="G455" s="8" t="s">
        <v>2212</v>
      </c>
      <c r="H455" s="12" t="s">
        <v>194</v>
      </c>
      <c r="I455" s="8" t="s">
        <v>2213</v>
      </c>
      <c r="J455" s="8" t="s">
        <v>2595</v>
      </c>
      <c r="K455" s="8" t="s">
        <v>2215</v>
      </c>
    </row>
    <row r="456" customFormat="false" ht="24.75" hidden="false" customHeight="true" outlineLevel="0" collapsed="false">
      <c r="A456" s="12" t="s">
        <v>1164</v>
      </c>
      <c r="B456" s="8" t="s">
        <v>1166</v>
      </c>
      <c r="C456" s="8" t="s">
        <v>2209</v>
      </c>
      <c r="D456" s="12" t="s">
        <v>176</v>
      </c>
      <c r="E456" s="8" t="s">
        <v>2481</v>
      </c>
      <c r="F456" s="8" t="s">
        <v>2917</v>
      </c>
      <c r="G456" s="8" t="s">
        <v>2483</v>
      </c>
      <c r="H456" s="12" t="s">
        <v>194</v>
      </c>
      <c r="I456" s="8" t="s">
        <v>2213</v>
      </c>
      <c r="J456" s="8" t="s">
        <v>2918</v>
      </c>
      <c r="K456" s="8" t="s">
        <v>2485</v>
      </c>
    </row>
    <row r="457" customFormat="false" ht="24.75" hidden="false" customHeight="true" outlineLevel="0" collapsed="false">
      <c r="A457" s="12" t="s">
        <v>1164</v>
      </c>
      <c r="B457" s="8" t="s">
        <v>1166</v>
      </c>
      <c r="C457" s="8" t="s">
        <v>2209</v>
      </c>
      <c r="D457" s="12" t="s">
        <v>176</v>
      </c>
      <c r="E457" s="8" t="s">
        <v>2481</v>
      </c>
      <c r="F457" s="8" t="s">
        <v>2919</v>
      </c>
      <c r="G457" s="8" t="s">
        <v>2483</v>
      </c>
      <c r="H457" s="12" t="s">
        <v>194</v>
      </c>
      <c r="I457" s="8" t="s">
        <v>2213</v>
      </c>
      <c r="J457" s="8" t="s">
        <v>2920</v>
      </c>
      <c r="K457" s="8" t="s">
        <v>2485</v>
      </c>
    </row>
    <row r="458" customFormat="false" ht="14.25" hidden="false" customHeight="false" outlineLevel="0" collapsed="false">
      <c r="A458" s="12" t="s">
        <v>995</v>
      </c>
      <c r="B458" s="8" t="s">
        <v>1174</v>
      </c>
      <c r="C458" s="8" t="s">
        <v>2209</v>
      </c>
      <c r="D458" s="12" t="s">
        <v>171</v>
      </c>
      <c r="E458" s="8" t="s">
        <v>2221</v>
      </c>
      <c r="F458" s="8" t="s">
        <v>2921</v>
      </c>
      <c r="G458" s="8" t="s">
        <v>2223</v>
      </c>
      <c r="H458" s="12" t="s">
        <v>194</v>
      </c>
      <c r="I458" s="8" t="s">
        <v>2213</v>
      </c>
      <c r="J458" s="8" t="s">
        <v>1173</v>
      </c>
      <c r="K458" s="8" t="s">
        <v>2215</v>
      </c>
    </row>
    <row r="459" customFormat="false" ht="24.75" hidden="false" customHeight="true" outlineLevel="0" collapsed="false">
      <c r="A459" s="12" t="s">
        <v>995</v>
      </c>
      <c r="B459" s="8" t="s">
        <v>1174</v>
      </c>
      <c r="C459" s="8" t="s">
        <v>2209</v>
      </c>
      <c r="D459" s="12" t="s">
        <v>171</v>
      </c>
      <c r="E459" s="8" t="s">
        <v>2221</v>
      </c>
      <c r="F459" s="8" t="s">
        <v>2922</v>
      </c>
      <c r="G459" s="8" t="s">
        <v>2223</v>
      </c>
      <c r="H459" s="12" t="s">
        <v>194</v>
      </c>
      <c r="I459" s="8" t="s">
        <v>2213</v>
      </c>
      <c r="J459" s="8" t="s">
        <v>2923</v>
      </c>
      <c r="K459" s="8" t="s">
        <v>2215</v>
      </c>
    </row>
    <row r="460" customFormat="false" ht="14.25" hidden="false" customHeight="false" outlineLevel="0" collapsed="false">
      <c r="A460" s="12" t="s">
        <v>995</v>
      </c>
      <c r="B460" s="8" t="s">
        <v>1174</v>
      </c>
      <c r="C460" s="8" t="s">
        <v>2209</v>
      </c>
      <c r="D460" s="12" t="s">
        <v>171</v>
      </c>
      <c r="E460" s="8" t="s">
        <v>2221</v>
      </c>
      <c r="F460" s="8" t="s">
        <v>2924</v>
      </c>
      <c r="G460" s="8" t="s">
        <v>2223</v>
      </c>
      <c r="H460" s="12" t="s">
        <v>194</v>
      </c>
      <c r="I460" s="8" t="s">
        <v>2213</v>
      </c>
      <c r="J460" s="8" t="s">
        <v>2925</v>
      </c>
      <c r="K460" s="8" t="s">
        <v>2215</v>
      </c>
    </row>
    <row r="461" customFormat="false" ht="14.25" hidden="false" customHeight="false" outlineLevel="0" collapsed="false">
      <c r="A461" s="12" t="s">
        <v>995</v>
      </c>
      <c r="B461" s="8" t="s">
        <v>1174</v>
      </c>
      <c r="C461" s="8" t="s">
        <v>2209</v>
      </c>
      <c r="D461" s="12" t="s">
        <v>171</v>
      </c>
      <c r="E461" s="8" t="s">
        <v>2221</v>
      </c>
      <c r="F461" s="8" t="s">
        <v>2926</v>
      </c>
      <c r="G461" s="8" t="s">
        <v>2223</v>
      </c>
      <c r="H461" s="12" t="s">
        <v>194</v>
      </c>
      <c r="I461" s="8" t="s">
        <v>2213</v>
      </c>
      <c r="J461" s="8" t="s">
        <v>2927</v>
      </c>
      <c r="K461" s="8" t="s">
        <v>2215</v>
      </c>
    </row>
    <row r="462" customFormat="false" ht="14.25" hidden="false" customHeight="false" outlineLevel="0" collapsed="false">
      <c r="A462" s="12" t="s">
        <v>995</v>
      </c>
      <c r="B462" s="8" t="s">
        <v>1174</v>
      </c>
      <c r="C462" s="8" t="s">
        <v>2209</v>
      </c>
      <c r="D462" s="12" t="s">
        <v>171</v>
      </c>
      <c r="E462" s="8" t="s">
        <v>2221</v>
      </c>
      <c r="F462" s="8" t="s">
        <v>2928</v>
      </c>
      <c r="G462" s="8" t="s">
        <v>2223</v>
      </c>
      <c r="H462" s="12" t="s">
        <v>194</v>
      </c>
      <c r="I462" s="8" t="s">
        <v>2213</v>
      </c>
      <c r="J462" s="8" t="s">
        <v>2929</v>
      </c>
      <c r="K462" s="8" t="s">
        <v>2215</v>
      </c>
    </row>
    <row r="463" customFormat="false" ht="37.5" hidden="false" customHeight="true" outlineLevel="0" collapsed="false">
      <c r="A463" s="12" t="s">
        <v>995</v>
      </c>
      <c r="B463" s="8" t="s">
        <v>1174</v>
      </c>
      <c r="C463" s="8" t="s">
        <v>2209</v>
      </c>
      <c r="D463" s="12" t="s">
        <v>172</v>
      </c>
      <c r="E463" s="8" t="s">
        <v>2210</v>
      </c>
      <c r="F463" s="8" t="s">
        <v>2414</v>
      </c>
      <c r="G463" s="8" t="s">
        <v>2542</v>
      </c>
      <c r="H463" s="12" t="s">
        <v>810</v>
      </c>
      <c r="I463" s="8" t="s">
        <v>2213</v>
      </c>
      <c r="J463" s="8" t="s">
        <v>2930</v>
      </c>
      <c r="K463" s="8" t="s">
        <v>2215</v>
      </c>
    </row>
    <row r="464" customFormat="false" ht="14.25" hidden="false" customHeight="false" outlineLevel="0" collapsed="false">
      <c r="A464" s="12" t="s">
        <v>995</v>
      </c>
      <c r="B464" s="8" t="s">
        <v>1174</v>
      </c>
      <c r="C464" s="8" t="s">
        <v>2209</v>
      </c>
      <c r="D464" s="12" t="s">
        <v>173</v>
      </c>
      <c r="E464" s="8" t="s">
        <v>2260</v>
      </c>
      <c r="F464" s="8" t="s">
        <v>2779</v>
      </c>
      <c r="G464" s="8" t="s">
        <v>2262</v>
      </c>
      <c r="H464" s="12" t="s">
        <v>194</v>
      </c>
      <c r="I464" s="8" t="s">
        <v>2213</v>
      </c>
      <c r="J464" s="8" t="s">
        <v>2931</v>
      </c>
      <c r="K464" s="8" t="s">
        <v>2215</v>
      </c>
    </row>
    <row r="465" customFormat="false" ht="24.75" hidden="false" customHeight="true" outlineLevel="0" collapsed="false">
      <c r="A465" s="12" t="s">
        <v>995</v>
      </c>
      <c r="B465" s="8" t="s">
        <v>1174</v>
      </c>
      <c r="C465" s="8" t="s">
        <v>2209</v>
      </c>
      <c r="D465" s="12" t="s">
        <v>174</v>
      </c>
      <c r="E465" s="8" t="s">
        <v>2216</v>
      </c>
      <c r="F465" s="8" t="s">
        <v>2217</v>
      </c>
      <c r="G465" s="8" t="s">
        <v>2218</v>
      </c>
      <c r="H465" s="12" t="s">
        <v>195</v>
      </c>
      <c r="I465" s="8" t="s">
        <v>2213</v>
      </c>
      <c r="J465" s="8" t="s">
        <v>2932</v>
      </c>
      <c r="K465" s="8" t="s">
        <v>2215</v>
      </c>
    </row>
    <row r="466" customFormat="false" ht="24.75" hidden="false" customHeight="true" outlineLevel="0" collapsed="false">
      <c r="A466" s="12" t="s">
        <v>995</v>
      </c>
      <c r="B466" s="8" t="s">
        <v>1174</v>
      </c>
      <c r="C466" s="8" t="s">
        <v>2209</v>
      </c>
      <c r="D466" s="12" t="s">
        <v>175</v>
      </c>
      <c r="E466" s="8" t="s">
        <v>2237</v>
      </c>
      <c r="F466" s="8" t="s">
        <v>2256</v>
      </c>
      <c r="G466" s="8" t="s">
        <v>2239</v>
      </c>
      <c r="H466" s="12" t="s">
        <v>194</v>
      </c>
      <c r="I466" s="8" t="s">
        <v>2213</v>
      </c>
      <c r="J466" s="8" t="s">
        <v>2933</v>
      </c>
      <c r="K466" s="8" t="s">
        <v>2215</v>
      </c>
    </row>
    <row r="467" customFormat="false" ht="24.75" hidden="false" customHeight="true" outlineLevel="0" collapsed="false">
      <c r="A467" s="12" t="s">
        <v>995</v>
      </c>
      <c r="B467" s="8" t="s">
        <v>1174</v>
      </c>
      <c r="C467" s="8" t="s">
        <v>2209</v>
      </c>
      <c r="D467" s="12" t="s">
        <v>175</v>
      </c>
      <c r="E467" s="8" t="s">
        <v>2237</v>
      </c>
      <c r="F467" s="8" t="s">
        <v>2238</v>
      </c>
      <c r="G467" s="8" t="s">
        <v>2239</v>
      </c>
      <c r="H467" s="12" t="s">
        <v>194</v>
      </c>
      <c r="I467" s="8" t="s">
        <v>2213</v>
      </c>
      <c r="J467" s="8" t="s">
        <v>2934</v>
      </c>
      <c r="K467" s="8" t="s">
        <v>2215</v>
      </c>
    </row>
    <row r="468" customFormat="false" ht="24.75" hidden="false" customHeight="true" outlineLevel="0" collapsed="false">
      <c r="A468" s="12" t="s">
        <v>995</v>
      </c>
      <c r="B468" s="8" t="s">
        <v>1174</v>
      </c>
      <c r="C468" s="8" t="s">
        <v>2209</v>
      </c>
      <c r="D468" s="12" t="s">
        <v>176</v>
      </c>
      <c r="E468" s="8" t="s">
        <v>2481</v>
      </c>
      <c r="F468" s="8" t="s">
        <v>2935</v>
      </c>
      <c r="G468" s="8" t="s">
        <v>2483</v>
      </c>
      <c r="H468" s="12" t="s">
        <v>194</v>
      </c>
      <c r="I468" s="8" t="s">
        <v>2213</v>
      </c>
      <c r="J468" s="8" t="s">
        <v>2936</v>
      </c>
      <c r="K468" s="8" t="s">
        <v>2485</v>
      </c>
    </row>
    <row r="469" customFormat="false" ht="24.75" hidden="false" customHeight="true" outlineLevel="0" collapsed="false">
      <c r="A469" s="12" t="s">
        <v>995</v>
      </c>
      <c r="B469" s="8" t="s">
        <v>1174</v>
      </c>
      <c r="C469" s="8" t="s">
        <v>2209</v>
      </c>
      <c r="D469" s="12" t="s">
        <v>176</v>
      </c>
      <c r="E469" s="8" t="s">
        <v>2481</v>
      </c>
      <c r="F469" s="8" t="s">
        <v>2937</v>
      </c>
      <c r="G469" s="8" t="s">
        <v>2483</v>
      </c>
      <c r="H469" s="12" t="s">
        <v>194</v>
      </c>
      <c r="I469" s="8" t="s">
        <v>2213</v>
      </c>
      <c r="J469" s="8" t="s">
        <v>2938</v>
      </c>
      <c r="K469" s="8" t="s">
        <v>2485</v>
      </c>
    </row>
    <row r="470" customFormat="false" ht="24.75" hidden="false" customHeight="true" outlineLevel="0" collapsed="false">
      <c r="A470" s="12" t="s">
        <v>995</v>
      </c>
      <c r="B470" s="8" t="s">
        <v>1174</v>
      </c>
      <c r="C470" s="8" t="s">
        <v>2209</v>
      </c>
      <c r="D470" s="12" t="s">
        <v>1981</v>
      </c>
      <c r="E470" s="8" t="s">
        <v>2939</v>
      </c>
      <c r="F470" s="8" t="s">
        <v>2940</v>
      </c>
      <c r="G470" s="8" t="s">
        <v>2941</v>
      </c>
      <c r="H470" s="12" t="s">
        <v>195</v>
      </c>
      <c r="I470" s="8" t="s">
        <v>2706</v>
      </c>
      <c r="J470" s="8" t="s">
        <v>2942</v>
      </c>
      <c r="K470" s="8" t="s">
        <v>2215</v>
      </c>
    </row>
    <row r="471" customFormat="false" ht="24.75" hidden="false" customHeight="true" outlineLevel="0" collapsed="false">
      <c r="A471" s="12" t="s">
        <v>995</v>
      </c>
      <c r="B471" s="8" t="s">
        <v>1174</v>
      </c>
      <c r="C471" s="8" t="s">
        <v>2209</v>
      </c>
      <c r="D471" s="12" t="s">
        <v>1982</v>
      </c>
      <c r="E471" s="8" t="s">
        <v>2703</v>
      </c>
      <c r="F471" s="8" t="s">
        <v>2704</v>
      </c>
      <c r="G471" s="8" t="s">
        <v>2705</v>
      </c>
      <c r="H471" s="12" t="s">
        <v>195</v>
      </c>
      <c r="I471" s="8" t="s">
        <v>2706</v>
      </c>
      <c r="J471" s="8" t="s">
        <v>2943</v>
      </c>
      <c r="K471" s="8" t="s">
        <v>2215</v>
      </c>
    </row>
    <row r="472" customFormat="false" ht="14.25" hidden="false" customHeight="false" outlineLevel="0" collapsed="false">
      <c r="A472" s="12" t="s">
        <v>1180</v>
      </c>
      <c r="B472" s="8" t="s">
        <v>1181</v>
      </c>
      <c r="C472" s="8" t="s">
        <v>2209</v>
      </c>
      <c r="D472" s="12" t="s">
        <v>173</v>
      </c>
      <c r="E472" s="8" t="s">
        <v>2260</v>
      </c>
      <c r="F472" s="8" t="s">
        <v>2779</v>
      </c>
      <c r="G472" s="8" t="s">
        <v>2262</v>
      </c>
      <c r="H472" s="12" t="s">
        <v>194</v>
      </c>
      <c r="I472" s="8" t="s">
        <v>2213</v>
      </c>
      <c r="J472" s="8" t="s">
        <v>2944</v>
      </c>
      <c r="K472" s="8" t="s">
        <v>2215</v>
      </c>
    </row>
    <row r="473" customFormat="false" ht="14.25" hidden="false" customHeight="false" outlineLevel="0" collapsed="false">
      <c r="A473" s="12" t="s">
        <v>1185</v>
      </c>
      <c r="B473" s="8" t="s">
        <v>1186</v>
      </c>
      <c r="C473" s="8" t="s">
        <v>2209</v>
      </c>
      <c r="D473" s="12" t="s">
        <v>171</v>
      </c>
      <c r="E473" s="8" t="s">
        <v>2221</v>
      </c>
      <c r="F473" s="8" t="s">
        <v>2945</v>
      </c>
      <c r="G473" s="8" t="s">
        <v>2397</v>
      </c>
      <c r="H473" s="12" t="s">
        <v>232</v>
      </c>
      <c r="I473" s="8" t="s">
        <v>2213</v>
      </c>
      <c r="J473" s="8" t="s">
        <v>2946</v>
      </c>
      <c r="K473" s="8" t="s">
        <v>2215</v>
      </c>
    </row>
    <row r="474" customFormat="false" ht="14.25" hidden="false" customHeight="false" outlineLevel="0" collapsed="false">
      <c r="A474" s="12" t="s">
        <v>1185</v>
      </c>
      <c r="B474" s="8" t="s">
        <v>1186</v>
      </c>
      <c r="C474" s="8" t="s">
        <v>2209</v>
      </c>
      <c r="D474" s="12" t="s">
        <v>171</v>
      </c>
      <c r="E474" s="8" t="s">
        <v>2221</v>
      </c>
      <c r="F474" s="8" t="s">
        <v>2947</v>
      </c>
      <c r="G474" s="8" t="s">
        <v>2738</v>
      </c>
      <c r="H474" s="12" t="s">
        <v>232</v>
      </c>
      <c r="I474" s="8" t="s">
        <v>2213</v>
      </c>
      <c r="J474" s="8" t="s">
        <v>2948</v>
      </c>
      <c r="K474" s="8" t="s">
        <v>2215</v>
      </c>
    </row>
    <row r="475" customFormat="false" ht="14.25" hidden="false" customHeight="false" outlineLevel="0" collapsed="false">
      <c r="A475" s="12" t="s">
        <v>1185</v>
      </c>
      <c r="B475" s="8" t="s">
        <v>1186</v>
      </c>
      <c r="C475" s="8" t="s">
        <v>2209</v>
      </c>
      <c r="D475" s="12" t="s">
        <v>171</v>
      </c>
      <c r="E475" s="8" t="s">
        <v>2221</v>
      </c>
      <c r="F475" s="8" t="s">
        <v>2949</v>
      </c>
      <c r="G475" s="8" t="s">
        <v>2223</v>
      </c>
      <c r="H475" s="12" t="s">
        <v>194</v>
      </c>
      <c r="I475" s="8" t="s">
        <v>2213</v>
      </c>
      <c r="J475" s="8" t="s">
        <v>2950</v>
      </c>
      <c r="K475" s="8" t="s">
        <v>2215</v>
      </c>
    </row>
    <row r="476" customFormat="false" ht="14.25" hidden="false" customHeight="false" outlineLevel="0" collapsed="false">
      <c r="A476" s="12" t="s">
        <v>1185</v>
      </c>
      <c r="B476" s="8" t="s">
        <v>1186</v>
      </c>
      <c r="C476" s="8" t="s">
        <v>2209</v>
      </c>
      <c r="D476" s="12" t="s">
        <v>171</v>
      </c>
      <c r="E476" s="8" t="s">
        <v>2221</v>
      </c>
      <c r="F476" s="8" t="s">
        <v>2951</v>
      </c>
      <c r="G476" s="8" t="s">
        <v>2397</v>
      </c>
      <c r="H476" s="12" t="s">
        <v>232</v>
      </c>
      <c r="I476" s="8" t="s">
        <v>2213</v>
      </c>
      <c r="J476" s="8" t="s">
        <v>2946</v>
      </c>
      <c r="K476" s="8" t="s">
        <v>2215</v>
      </c>
    </row>
    <row r="477" customFormat="false" ht="14.25" hidden="false" customHeight="false" outlineLevel="0" collapsed="false">
      <c r="A477" s="12" t="s">
        <v>1185</v>
      </c>
      <c r="B477" s="8" t="s">
        <v>1186</v>
      </c>
      <c r="C477" s="8" t="s">
        <v>2209</v>
      </c>
      <c r="D477" s="12" t="s">
        <v>171</v>
      </c>
      <c r="E477" s="8" t="s">
        <v>2221</v>
      </c>
      <c r="F477" s="8" t="s">
        <v>2952</v>
      </c>
      <c r="G477" s="8" t="s">
        <v>2738</v>
      </c>
      <c r="H477" s="12" t="s">
        <v>232</v>
      </c>
      <c r="I477" s="8" t="s">
        <v>2213</v>
      </c>
      <c r="J477" s="8" t="s">
        <v>2948</v>
      </c>
      <c r="K477" s="8" t="s">
        <v>2215</v>
      </c>
    </row>
    <row r="478" customFormat="false" ht="24.75" hidden="false" customHeight="true" outlineLevel="0" collapsed="false">
      <c r="A478" s="12" t="s">
        <v>1190</v>
      </c>
      <c r="B478" s="8" t="s">
        <v>1191</v>
      </c>
      <c r="C478" s="8" t="s">
        <v>2209</v>
      </c>
      <c r="D478" s="12" t="s">
        <v>171</v>
      </c>
      <c r="E478" s="8" t="s">
        <v>2221</v>
      </c>
      <c r="F478" s="8" t="s">
        <v>2953</v>
      </c>
      <c r="G478" s="8" t="s">
        <v>2954</v>
      </c>
      <c r="H478" s="12" t="s">
        <v>232</v>
      </c>
      <c r="I478" s="8" t="s">
        <v>2213</v>
      </c>
      <c r="J478" s="8" t="s">
        <v>2955</v>
      </c>
      <c r="K478" s="8" t="s">
        <v>2215</v>
      </c>
    </row>
    <row r="479" customFormat="false" ht="24.75" hidden="false" customHeight="true" outlineLevel="0" collapsed="false">
      <c r="A479" s="12" t="s">
        <v>1190</v>
      </c>
      <c r="B479" s="8" t="s">
        <v>1191</v>
      </c>
      <c r="C479" s="8" t="s">
        <v>2209</v>
      </c>
      <c r="D479" s="12" t="s">
        <v>171</v>
      </c>
      <c r="E479" s="8" t="s">
        <v>2221</v>
      </c>
      <c r="F479" s="8" t="s">
        <v>2956</v>
      </c>
      <c r="G479" s="8" t="s">
        <v>2223</v>
      </c>
      <c r="H479" s="12" t="s">
        <v>194</v>
      </c>
      <c r="I479" s="8" t="s">
        <v>2213</v>
      </c>
      <c r="J479" s="8" t="s">
        <v>2957</v>
      </c>
      <c r="K479" s="8" t="s">
        <v>2215</v>
      </c>
    </row>
    <row r="480" customFormat="false" ht="24.75" hidden="false" customHeight="true" outlineLevel="0" collapsed="false">
      <c r="A480" s="12" t="s">
        <v>1190</v>
      </c>
      <c r="B480" s="8" t="s">
        <v>1191</v>
      </c>
      <c r="C480" s="8" t="s">
        <v>2209</v>
      </c>
      <c r="D480" s="12" t="s">
        <v>171</v>
      </c>
      <c r="E480" s="8" t="s">
        <v>2221</v>
      </c>
      <c r="F480" s="8" t="s">
        <v>2958</v>
      </c>
      <c r="G480" s="8" t="s">
        <v>2223</v>
      </c>
      <c r="H480" s="12" t="s">
        <v>194</v>
      </c>
      <c r="I480" s="8" t="s">
        <v>2213</v>
      </c>
      <c r="J480" s="8" t="s">
        <v>2959</v>
      </c>
      <c r="K480" s="8" t="s">
        <v>2215</v>
      </c>
    </row>
    <row r="481" customFormat="false" ht="24.75" hidden="false" customHeight="true" outlineLevel="0" collapsed="false">
      <c r="A481" s="12" t="s">
        <v>1190</v>
      </c>
      <c r="B481" s="8" t="s">
        <v>1191</v>
      </c>
      <c r="C481" s="8" t="s">
        <v>2209</v>
      </c>
      <c r="D481" s="12" t="s">
        <v>171</v>
      </c>
      <c r="E481" s="8" t="s">
        <v>2221</v>
      </c>
      <c r="F481" s="8" t="s">
        <v>2960</v>
      </c>
      <c r="G481" s="8" t="s">
        <v>2738</v>
      </c>
      <c r="H481" s="12" t="s">
        <v>232</v>
      </c>
      <c r="I481" s="8" t="s">
        <v>2213</v>
      </c>
      <c r="J481" s="8" t="s">
        <v>2961</v>
      </c>
      <c r="K481" s="8" t="s">
        <v>2215</v>
      </c>
    </row>
    <row r="482" customFormat="false" ht="24.75" hidden="false" customHeight="true" outlineLevel="0" collapsed="false">
      <c r="A482" s="12" t="s">
        <v>1190</v>
      </c>
      <c r="B482" s="8" t="s">
        <v>1191</v>
      </c>
      <c r="C482" s="8" t="s">
        <v>2209</v>
      </c>
      <c r="D482" s="12" t="s">
        <v>171</v>
      </c>
      <c r="E482" s="8" t="s">
        <v>2221</v>
      </c>
      <c r="F482" s="8" t="s">
        <v>2962</v>
      </c>
      <c r="G482" s="8" t="s">
        <v>2738</v>
      </c>
      <c r="H482" s="12" t="s">
        <v>232</v>
      </c>
      <c r="I482" s="8" t="s">
        <v>2213</v>
      </c>
      <c r="J482" s="8" t="s">
        <v>2961</v>
      </c>
      <c r="K482" s="8" t="s">
        <v>2215</v>
      </c>
    </row>
    <row r="483" customFormat="false" ht="24.75" hidden="false" customHeight="true" outlineLevel="0" collapsed="false">
      <c r="A483" s="12" t="s">
        <v>1194</v>
      </c>
      <c r="B483" s="8" t="s">
        <v>1195</v>
      </c>
      <c r="C483" s="8" t="s">
        <v>2209</v>
      </c>
      <c r="D483" s="12" t="s">
        <v>171</v>
      </c>
      <c r="E483" s="8" t="s">
        <v>2221</v>
      </c>
      <c r="F483" s="8" t="s">
        <v>2963</v>
      </c>
      <c r="G483" s="8" t="s">
        <v>2738</v>
      </c>
      <c r="H483" s="12" t="s">
        <v>232</v>
      </c>
      <c r="I483" s="8" t="s">
        <v>2213</v>
      </c>
      <c r="J483" s="8" t="s">
        <v>2964</v>
      </c>
      <c r="K483" s="8" t="s">
        <v>2215</v>
      </c>
    </row>
    <row r="484" customFormat="false" ht="24.75" hidden="false" customHeight="true" outlineLevel="0" collapsed="false">
      <c r="A484" s="12" t="s">
        <v>1194</v>
      </c>
      <c r="B484" s="8" t="s">
        <v>1195</v>
      </c>
      <c r="C484" s="8" t="s">
        <v>2209</v>
      </c>
      <c r="D484" s="12" t="s">
        <v>171</v>
      </c>
      <c r="E484" s="8" t="s">
        <v>2221</v>
      </c>
      <c r="F484" s="8" t="s">
        <v>2965</v>
      </c>
      <c r="G484" s="8" t="s">
        <v>2738</v>
      </c>
      <c r="H484" s="12" t="s">
        <v>232</v>
      </c>
      <c r="I484" s="8" t="s">
        <v>2213</v>
      </c>
      <c r="J484" s="8" t="s">
        <v>2966</v>
      </c>
      <c r="K484" s="8" t="s">
        <v>2215</v>
      </c>
    </row>
    <row r="485" customFormat="false" ht="24.75" hidden="false" customHeight="true" outlineLevel="0" collapsed="false">
      <c r="A485" s="12" t="s">
        <v>1194</v>
      </c>
      <c r="B485" s="8" t="s">
        <v>1195</v>
      </c>
      <c r="C485" s="8" t="s">
        <v>2209</v>
      </c>
      <c r="D485" s="12" t="s">
        <v>171</v>
      </c>
      <c r="E485" s="8" t="s">
        <v>2221</v>
      </c>
      <c r="F485" s="8" t="s">
        <v>2967</v>
      </c>
      <c r="G485" s="8" t="s">
        <v>2342</v>
      </c>
      <c r="H485" s="12" t="s">
        <v>232</v>
      </c>
      <c r="I485" s="8" t="s">
        <v>2213</v>
      </c>
      <c r="J485" s="8" t="s">
        <v>2968</v>
      </c>
      <c r="K485" s="8" t="s">
        <v>2215</v>
      </c>
    </row>
    <row r="486" customFormat="false" ht="24.75" hidden="false" customHeight="true" outlineLevel="0" collapsed="false">
      <c r="A486" s="12" t="s">
        <v>1194</v>
      </c>
      <c r="B486" s="8" t="s">
        <v>1195</v>
      </c>
      <c r="C486" s="8" t="s">
        <v>2209</v>
      </c>
      <c r="D486" s="12" t="s">
        <v>171</v>
      </c>
      <c r="E486" s="8" t="s">
        <v>2221</v>
      </c>
      <c r="F486" s="8" t="s">
        <v>2969</v>
      </c>
      <c r="G486" s="8" t="s">
        <v>2738</v>
      </c>
      <c r="H486" s="12" t="s">
        <v>232</v>
      </c>
      <c r="I486" s="8" t="s">
        <v>2213</v>
      </c>
      <c r="J486" s="8" t="s">
        <v>2970</v>
      </c>
      <c r="K486" s="8" t="s">
        <v>2215</v>
      </c>
    </row>
    <row r="487" customFormat="false" ht="24.75" hidden="false" customHeight="true" outlineLevel="0" collapsed="false">
      <c r="A487" s="12" t="s">
        <v>1194</v>
      </c>
      <c r="B487" s="8" t="s">
        <v>1195</v>
      </c>
      <c r="C487" s="8" t="s">
        <v>2209</v>
      </c>
      <c r="D487" s="12" t="s">
        <v>171</v>
      </c>
      <c r="E487" s="8" t="s">
        <v>2221</v>
      </c>
      <c r="F487" s="8" t="s">
        <v>2971</v>
      </c>
      <c r="G487" s="8" t="s">
        <v>2342</v>
      </c>
      <c r="H487" s="12" t="s">
        <v>232</v>
      </c>
      <c r="I487" s="8" t="s">
        <v>2213</v>
      </c>
      <c r="J487" s="8" t="s">
        <v>2968</v>
      </c>
      <c r="K487" s="8" t="s">
        <v>2215</v>
      </c>
    </row>
    <row r="488" customFormat="false" ht="24.75" hidden="false" customHeight="true" outlineLevel="0" collapsed="false">
      <c r="A488" s="12" t="s">
        <v>1194</v>
      </c>
      <c r="B488" s="8" t="s">
        <v>1195</v>
      </c>
      <c r="C488" s="8" t="s">
        <v>2209</v>
      </c>
      <c r="D488" s="12" t="s">
        <v>171</v>
      </c>
      <c r="E488" s="8" t="s">
        <v>2221</v>
      </c>
      <c r="F488" s="8" t="s">
        <v>2972</v>
      </c>
      <c r="G488" s="8" t="s">
        <v>2738</v>
      </c>
      <c r="H488" s="12" t="s">
        <v>232</v>
      </c>
      <c r="I488" s="8" t="s">
        <v>2213</v>
      </c>
      <c r="J488" s="8" t="s">
        <v>2970</v>
      </c>
      <c r="K488" s="8" t="s">
        <v>2215</v>
      </c>
    </row>
    <row r="489" customFormat="false" ht="24.75" hidden="false" customHeight="true" outlineLevel="0" collapsed="false">
      <c r="A489" s="12" t="s">
        <v>1194</v>
      </c>
      <c r="B489" s="8" t="s">
        <v>1195</v>
      </c>
      <c r="C489" s="8" t="s">
        <v>2209</v>
      </c>
      <c r="D489" s="12" t="s">
        <v>1981</v>
      </c>
      <c r="E489" s="8" t="s">
        <v>2939</v>
      </c>
      <c r="F489" s="8" t="s">
        <v>2940</v>
      </c>
      <c r="G489" s="8" t="s">
        <v>2973</v>
      </c>
      <c r="H489" s="12" t="s">
        <v>194</v>
      </c>
      <c r="I489" s="8" t="s">
        <v>2706</v>
      </c>
      <c r="J489" s="8" t="s">
        <v>2974</v>
      </c>
      <c r="K489" s="8" t="s">
        <v>2215</v>
      </c>
    </row>
    <row r="490" customFormat="false" ht="37.5" hidden="false" customHeight="true" outlineLevel="0" collapsed="false">
      <c r="A490" s="12" t="s">
        <v>1200</v>
      </c>
      <c r="B490" s="8" t="s">
        <v>1202</v>
      </c>
      <c r="C490" s="8" t="s">
        <v>2209</v>
      </c>
      <c r="D490" s="12" t="s">
        <v>171</v>
      </c>
      <c r="E490" s="8" t="s">
        <v>2221</v>
      </c>
      <c r="F490" s="8" t="s">
        <v>2975</v>
      </c>
      <c r="G490" s="8" t="s">
        <v>2223</v>
      </c>
      <c r="H490" s="12" t="s">
        <v>194</v>
      </c>
      <c r="I490" s="8" t="s">
        <v>2213</v>
      </c>
      <c r="J490" s="8" t="s">
        <v>2976</v>
      </c>
      <c r="K490" s="8" t="s">
        <v>2215</v>
      </c>
    </row>
    <row r="491" customFormat="false" ht="24.75" hidden="false" customHeight="true" outlineLevel="0" collapsed="false">
      <c r="A491" s="12" t="s">
        <v>1200</v>
      </c>
      <c r="B491" s="8" t="s">
        <v>1202</v>
      </c>
      <c r="C491" s="8" t="s">
        <v>2209</v>
      </c>
      <c r="D491" s="12" t="s">
        <v>171</v>
      </c>
      <c r="E491" s="8" t="s">
        <v>2221</v>
      </c>
      <c r="F491" s="8" t="s">
        <v>2977</v>
      </c>
      <c r="G491" s="8" t="s">
        <v>2223</v>
      </c>
      <c r="H491" s="12" t="s">
        <v>194</v>
      </c>
      <c r="I491" s="8" t="s">
        <v>2213</v>
      </c>
      <c r="J491" s="8" t="s">
        <v>2978</v>
      </c>
      <c r="K491" s="8" t="s">
        <v>2215</v>
      </c>
    </row>
    <row r="492" customFormat="false" ht="49.5" hidden="false" customHeight="true" outlineLevel="0" collapsed="false">
      <c r="A492" s="12" t="s">
        <v>1200</v>
      </c>
      <c r="B492" s="8" t="s">
        <v>1202</v>
      </c>
      <c r="C492" s="8" t="s">
        <v>2209</v>
      </c>
      <c r="D492" s="12" t="s">
        <v>172</v>
      </c>
      <c r="E492" s="8" t="s">
        <v>2210</v>
      </c>
      <c r="F492" s="8" t="s">
        <v>2233</v>
      </c>
      <c r="G492" s="8" t="s">
        <v>2212</v>
      </c>
      <c r="H492" s="12" t="s">
        <v>194</v>
      </c>
      <c r="I492" s="8" t="s">
        <v>2213</v>
      </c>
      <c r="J492" s="8" t="s">
        <v>2979</v>
      </c>
      <c r="K492" s="8" t="s">
        <v>2215</v>
      </c>
    </row>
    <row r="493" customFormat="false" ht="24.75" hidden="false" customHeight="true" outlineLevel="0" collapsed="false">
      <c r="A493" s="12" t="s">
        <v>1200</v>
      </c>
      <c r="B493" s="8" t="s">
        <v>1202</v>
      </c>
      <c r="C493" s="8" t="s">
        <v>2209</v>
      </c>
      <c r="D493" s="12" t="s">
        <v>172</v>
      </c>
      <c r="E493" s="8" t="s">
        <v>2210</v>
      </c>
      <c r="F493" s="8" t="s">
        <v>2826</v>
      </c>
      <c r="G493" s="8" t="s">
        <v>2212</v>
      </c>
      <c r="H493" s="12" t="s">
        <v>194</v>
      </c>
      <c r="I493" s="8" t="s">
        <v>2213</v>
      </c>
      <c r="J493" s="8" t="s">
        <v>2980</v>
      </c>
      <c r="K493" s="8" t="s">
        <v>2215</v>
      </c>
    </row>
    <row r="494" customFormat="false" ht="24.75" hidden="false" customHeight="true" outlineLevel="0" collapsed="false">
      <c r="A494" s="12" t="s">
        <v>1200</v>
      </c>
      <c r="B494" s="8" t="s">
        <v>1202</v>
      </c>
      <c r="C494" s="8" t="s">
        <v>2209</v>
      </c>
      <c r="D494" s="12" t="s">
        <v>175</v>
      </c>
      <c r="E494" s="8" t="s">
        <v>2237</v>
      </c>
      <c r="F494" s="8" t="s">
        <v>2256</v>
      </c>
      <c r="G494" s="8" t="s">
        <v>2239</v>
      </c>
      <c r="H494" s="12" t="s">
        <v>194</v>
      </c>
      <c r="I494" s="8" t="s">
        <v>2213</v>
      </c>
      <c r="J494" s="8" t="s">
        <v>2981</v>
      </c>
      <c r="K494" s="8" t="s">
        <v>2215</v>
      </c>
    </row>
    <row r="495" customFormat="false" ht="14.25" hidden="false" customHeight="false" outlineLevel="0" collapsed="false">
      <c r="A495" s="12" t="s">
        <v>1205</v>
      </c>
      <c r="B495" s="8" t="s">
        <v>1206</v>
      </c>
      <c r="C495" s="8" t="s">
        <v>2209</v>
      </c>
      <c r="D495" s="12" t="s">
        <v>171</v>
      </c>
      <c r="E495" s="8" t="s">
        <v>2221</v>
      </c>
      <c r="F495" s="8" t="s">
        <v>2982</v>
      </c>
      <c r="G495" s="8" t="s">
        <v>2223</v>
      </c>
      <c r="H495" s="12" t="s">
        <v>194</v>
      </c>
      <c r="I495" s="8" t="s">
        <v>2213</v>
      </c>
      <c r="J495" s="8" t="s">
        <v>2983</v>
      </c>
      <c r="K495" s="8" t="s">
        <v>2215</v>
      </c>
    </row>
    <row r="496" customFormat="false" ht="24.75" hidden="false" customHeight="true" outlineLevel="0" collapsed="false">
      <c r="A496" s="12" t="s">
        <v>1205</v>
      </c>
      <c r="B496" s="8" t="s">
        <v>1206</v>
      </c>
      <c r="C496" s="8" t="s">
        <v>2209</v>
      </c>
      <c r="D496" s="12" t="s">
        <v>172</v>
      </c>
      <c r="E496" s="8" t="s">
        <v>2210</v>
      </c>
      <c r="F496" s="8" t="s">
        <v>2841</v>
      </c>
      <c r="G496" s="8" t="s">
        <v>2212</v>
      </c>
      <c r="H496" s="12" t="s">
        <v>194</v>
      </c>
      <c r="I496" s="8" t="s">
        <v>2213</v>
      </c>
      <c r="J496" s="8" t="s">
        <v>2984</v>
      </c>
      <c r="K496" s="8" t="s">
        <v>2215</v>
      </c>
    </row>
    <row r="497" customFormat="false" ht="37.5" hidden="false" customHeight="true" outlineLevel="0" collapsed="false">
      <c r="A497" s="12" t="s">
        <v>1209</v>
      </c>
      <c r="B497" s="8" t="s">
        <v>1210</v>
      </c>
      <c r="C497" s="8" t="s">
        <v>2209</v>
      </c>
      <c r="D497" s="12" t="s">
        <v>171</v>
      </c>
      <c r="E497" s="8" t="s">
        <v>2221</v>
      </c>
      <c r="F497" s="8" t="s">
        <v>2434</v>
      </c>
      <c r="G497" s="8" t="s">
        <v>2397</v>
      </c>
      <c r="H497" s="12" t="s">
        <v>232</v>
      </c>
      <c r="I497" s="8" t="s">
        <v>2213</v>
      </c>
      <c r="J497" s="8" t="s">
        <v>2435</v>
      </c>
      <c r="K497" s="8" t="s">
        <v>2215</v>
      </c>
    </row>
    <row r="498" customFormat="false" ht="14.25" hidden="false" customHeight="false" outlineLevel="0" collapsed="false">
      <c r="A498" s="12" t="s">
        <v>1209</v>
      </c>
      <c r="B498" s="8" t="s">
        <v>1210</v>
      </c>
      <c r="C498" s="8" t="s">
        <v>2209</v>
      </c>
      <c r="D498" s="12" t="s">
        <v>171</v>
      </c>
      <c r="E498" s="8" t="s">
        <v>2221</v>
      </c>
      <c r="F498" s="8" t="s">
        <v>2629</v>
      </c>
      <c r="G498" s="8" t="s">
        <v>2223</v>
      </c>
      <c r="H498" s="12" t="s">
        <v>194</v>
      </c>
      <c r="I498" s="8" t="s">
        <v>2213</v>
      </c>
      <c r="J498" s="8" t="s">
        <v>2630</v>
      </c>
      <c r="K498" s="8" t="s">
        <v>2215</v>
      </c>
    </row>
    <row r="499" customFormat="false" ht="24.75" hidden="false" customHeight="true" outlineLevel="0" collapsed="false">
      <c r="A499" s="12" t="s">
        <v>1213</v>
      </c>
      <c r="B499" s="8" t="s">
        <v>1216</v>
      </c>
      <c r="C499" s="8" t="s">
        <v>2209</v>
      </c>
      <c r="D499" s="12" t="s">
        <v>171</v>
      </c>
      <c r="E499" s="8" t="s">
        <v>2221</v>
      </c>
      <c r="F499" s="8" t="s">
        <v>2985</v>
      </c>
      <c r="G499" s="8" t="s">
        <v>2223</v>
      </c>
      <c r="H499" s="12" t="s">
        <v>194</v>
      </c>
      <c r="I499" s="8" t="s">
        <v>2213</v>
      </c>
      <c r="J499" s="8" t="s">
        <v>2986</v>
      </c>
      <c r="K499" s="8" t="s">
        <v>2215</v>
      </c>
    </row>
    <row r="500" customFormat="false" ht="24.75" hidden="false" customHeight="true" outlineLevel="0" collapsed="false">
      <c r="A500" s="12" t="s">
        <v>1213</v>
      </c>
      <c r="B500" s="8" t="s">
        <v>1216</v>
      </c>
      <c r="C500" s="8" t="s">
        <v>2209</v>
      </c>
      <c r="D500" s="12" t="s">
        <v>171</v>
      </c>
      <c r="E500" s="8" t="s">
        <v>2221</v>
      </c>
      <c r="F500" s="8" t="s">
        <v>2987</v>
      </c>
      <c r="G500" s="8" t="s">
        <v>2223</v>
      </c>
      <c r="H500" s="12" t="s">
        <v>194</v>
      </c>
      <c r="I500" s="8" t="s">
        <v>2213</v>
      </c>
      <c r="J500" s="8" t="s">
        <v>2988</v>
      </c>
      <c r="K500" s="8" t="s">
        <v>2215</v>
      </c>
    </row>
    <row r="501" customFormat="false" ht="24.75" hidden="false" customHeight="true" outlineLevel="0" collapsed="false">
      <c r="A501" s="12" t="s">
        <v>1213</v>
      </c>
      <c r="B501" s="8" t="s">
        <v>1216</v>
      </c>
      <c r="C501" s="8" t="s">
        <v>2209</v>
      </c>
      <c r="D501" s="12" t="s">
        <v>171</v>
      </c>
      <c r="E501" s="8" t="s">
        <v>2221</v>
      </c>
      <c r="F501" s="8" t="s">
        <v>2989</v>
      </c>
      <c r="G501" s="8" t="s">
        <v>2397</v>
      </c>
      <c r="H501" s="12" t="s">
        <v>232</v>
      </c>
      <c r="I501" s="8" t="s">
        <v>2213</v>
      </c>
      <c r="J501" s="8" t="s">
        <v>2990</v>
      </c>
      <c r="K501" s="8" t="s">
        <v>2215</v>
      </c>
    </row>
    <row r="502" customFormat="false" ht="24.75" hidden="false" customHeight="true" outlineLevel="0" collapsed="false">
      <c r="A502" s="12" t="s">
        <v>1213</v>
      </c>
      <c r="B502" s="8" t="s">
        <v>1216</v>
      </c>
      <c r="C502" s="8" t="s">
        <v>2209</v>
      </c>
      <c r="D502" s="12" t="s">
        <v>172</v>
      </c>
      <c r="E502" s="8" t="s">
        <v>2210</v>
      </c>
      <c r="F502" s="8" t="s">
        <v>2227</v>
      </c>
      <c r="G502" s="8" t="s">
        <v>2212</v>
      </c>
      <c r="H502" s="12" t="s">
        <v>194</v>
      </c>
      <c r="I502" s="8" t="s">
        <v>2213</v>
      </c>
      <c r="J502" s="8" t="s">
        <v>2991</v>
      </c>
      <c r="K502" s="8" t="s">
        <v>2215</v>
      </c>
    </row>
    <row r="503" customFormat="false" ht="24.75" hidden="false" customHeight="true" outlineLevel="0" collapsed="false">
      <c r="A503" s="12" t="s">
        <v>1213</v>
      </c>
      <c r="B503" s="8" t="s">
        <v>1216</v>
      </c>
      <c r="C503" s="8" t="s">
        <v>2209</v>
      </c>
      <c r="D503" s="12" t="s">
        <v>172</v>
      </c>
      <c r="E503" s="8" t="s">
        <v>2210</v>
      </c>
      <c r="F503" s="8" t="s">
        <v>2414</v>
      </c>
      <c r="G503" s="8" t="s">
        <v>2542</v>
      </c>
      <c r="H503" s="12" t="s">
        <v>810</v>
      </c>
      <c r="I503" s="8" t="s">
        <v>2213</v>
      </c>
      <c r="J503" s="8" t="s">
        <v>2992</v>
      </c>
      <c r="K503" s="8" t="s">
        <v>2215</v>
      </c>
    </row>
    <row r="504" customFormat="false" ht="24.75" hidden="false" customHeight="true" outlineLevel="0" collapsed="false">
      <c r="A504" s="12" t="s">
        <v>1213</v>
      </c>
      <c r="B504" s="8" t="s">
        <v>1216</v>
      </c>
      <c r="C504" s="8" t="s">
        <v>2209</v>
      </c>
      <c r="D504" s="12" t="s">
        <v>173</v>
      </c>
      <c r="E504" s="8" t="s">
        <v>2260</v>
      </c>
      <c r="F504" s="8" t="s">
        <v>2508</v>
      </c>
      <c r="G504" s="8" t="s">
        <v>2262</v>
      </c>
      <c r="H504" s="12" t="s">
        <v>194</v>
      </c>
      <c r="I504" s="8" t="s">
        <v>2213</v>
      </c>
      <c r="J504" s="8" t="s">
        <v>2993</v>
      </c>
      <c r="K504" s="8" t="s">
        <v>2215</v>
      </c>
    </row>
    <row r="505" customFormat="false" ht="24.75" hidden="false" customHeight="true" outlineLevel="0" collapsed="false">
      <c r="A505" s="12" t="s">
        <v>1213</v>
      </c>
      <c r="B505" s="8" t="s">
        <v>1216</v>
      </c>
      <c r="C505" s="8" t="s">
        <v>2209</v>
      </c>
      <c r="D505" s="12" t="s">
        <v>176</v>
      </c>
      <c r="E505" s="8" t="s">
        <v>2481</v>
      </c>
      <c r="F505" s="8" t="s">
        <v>2994</v>
      </c>
      <c r="G505" s="8" t="s">
        <v>2483</v>
      </c>
      <c r="H505" s="12" t="s">
        <v>194</v>
      </c>
      <c r="I505" s="8" t="s">
        <v>2213</v>
      </c>
      <c r="J505" s="8" t="s">
        <v>2995</v>
      </c>
      <c r="K505" s="8" t="s">
        <v>2485</v>
      </c>
    </row>
    <row r="506" customFormat="false" ht="24.75" hidden="false" customHeight="true" outlineLevel="0" collapsed="false">
      <c r="A506" s="12" t="s">
        <v>1213</v>
      </c>
      <c r="B506" s="8" t="s">
        <v>1216</v>
      </c>
      <c r="C506" s="8" t="s">
        <v>2209</v>
      </c>
      <c r="D506" s="12" t="s">
        <v>1982</v>
      </c>
      <c r="E506" s="8" t="s">
        <v>2703</v>
      </c>
      <c r="F506" s="8" t="s">
        <v>2704</v>
      </c>
      <c r="G506" s="8" t="s">
        <v>2705</v>
      </c>
      <c r="H506" s="12" t="s">
        <v>195</v>
      </c>
      <c r="I506" s="8" t="s">
        <v>2706</v>
      </c>
      <c r="J506" s="8" t="s">
        <v>2996</v>
      </c>
      <c r="K506" s="8" t="s">
        <v>2215</v>
      </c>
    </row>
    <row r="507" customFormat="false" ht="24.75" hidden="false" customHeight="true" outlineLevel="0" collapsed="false">
      <c r="A507" s="12" t="s">
        <v>1213</v>
      </c>
      <c r="B507" s="8" t="s">
        <v>1216</v>
      </c>
      <c r="C507" s="8" t="s">
        <v>2209</v>
      </c>
      <c r="D507" s="12" t="s">
        <v>1984</v>
      </c>
      <c r="E507" s="8" t="s">
        <v>2997</v>
      </c>
      <c r="F507" s="8" t="s">
        <v>2998</v>
      </c>
      <c r="G507" s="8" t="s">
        <v>2483</v>
      </c>
      <c r="H507" s="12" t="s">
        <v>194</v>
      </c>
      <c r="I507" s="8" t="s">
        <v>2706</v>
      </c>
      <c r="J507" s="8" t="s">
        <v>2999</v>
      </c>
      <c r="K507" s="8" t="s">
        <v>2215</v>
      </c>
    </row>
    <row r="508" customFormat="false" ht="14.25" hidden="false" customHeight="false" outlineLevel="0" collapsed="false">
      <c r="A508" s="12" t="s">
        <v>988</v>
      </c>
      <c r="B508" s="8" t="s">
        <v>1222</v>
      </c>
      <c r="C508" s="8" t="s">
        <v>2209</v>
      </c>
      <c r="D508" s="12" t="s">
        <v>171</v>
      </c>
      <c r="E508" s="8" t="s">
        <v>2221</v>
      </c>
      <c r="F508" s="8" t="s">
        <v>3000</v>
      </c>
      <c r="G508" s="8" t="s">
        <v>2223</v>
      </c>
      <c r="H508" s="12" t="s">
        <v>194</v>
      </c>
      <c r="I508" s="8" t="s">
        <v>2213</v>
      </c>
      <c r="J508" s="8" t="s">
        <v>3001</v>
      </c>
      <c r="K508" s="8" t="s">
        <v>2215</v>
      </c>
    </row>
    <row r="509" customFormat="false" ht="24.75" hidden="false" customHeight="true" outlineLevel="0" collapsed="false">
      <c r="A509" s="12" t="s">
        <v>988</v>
      </c>
      <c r="B509" s="8" t="s">
        <v>1222</v>
      </c>
      <c r="C509" s="8" t="s">
        <v>2209</v>
      </c>
      <c r="D509" s="12" t="s">
        <v>172</v>
      </c>
      <c r="E509" s="8" t="s">
        <v>2210</v>
      </c>
      <c r="F509" s="8" t="s">
        <v>2841</v>
      </c>
      <c r="G509" s="8" t="s">
        <v>2212</v>
      </c>
      <c r="H509" s="12" t="s">
        <v>194</v>
      </c>
      <c r="I509" s="8" t="s">
        <v>2213</v>
      </c>
      <c r="J509" s="8" t="s">
        <v>3002</v>
      </c>
      <c r="K509" s="8" t="s">
        <v>2215</v>
      </c>
    </row>
    <row r="510" customFormat="false" ht="14.25" hidden="false" customHeight="false" outlineLevel="0" collapsed="false">
      <c r="A510" s="12" t="s">
        <v>988</v>
      </c>
      <c r="B510" s="8" t="s">
        <v>1222</v>
      </c>
      <c r="C510" s="8" t="s">
        <v>2209</v>
      </c>
      <c r="D510" s="12" t="s">
        <v>173</v>
      </c>
      <c r="E510" s="8" t="s">
        <v>2260</v>
      </c>
      <c r="F510" s="8" t="s">
        <v>3003</v>
      </c>
      <c r="G510" s="8" t="s">
        <v>2262</v>
      </c>
      <c r="H510" s="12" t="s">
        <v>194</v>
      </c>
      <c r="I510" s="8" t="s">
        <v>2213</v>
      </c>
      <c r="J510" s="8" t="s">
        <v>3004</v>
      </c>
      <c r="K510" s="8" t="s">
        <v>2215</v>
      </c>
    </row>
    <row r="511" customFormat="false" ht="24.75" hidden="false" customHeight="true" outlineLevel="0" collapsed="false">
      <c r="A511" s="12" t="s">
        <v>988</v>
      </c>
      <c r="B511" s="8" t="s">
        <v>1222</v>
      </c>
      <c r="C511" s="8" t="s">
        <v>2209</v>
      </c>
      <c r="D511" s="12" t="s">
        <v>173</v>
      </c>
      <c r="E511" s="8" t="s">
        <v>2260</v>
      </c>
      <c r="F511" s="8" t="s">
        <v>2462</v>
      </c>
      <c r="G511" s="8" t="s">
        <v>2463</v>
      </c>
      <c r="H511" s="12" t="s">
        <v>232</v>
      </c>
      <c r="I511" s="8" t="s">
        <v>2213</v>
      </c>
      <c r="J511" s="8" t="s">
        <v>3005</v>
      </c>
      <c r="K511" s="8" t="s">
        <v>2215</v>
      </c>
    </row>
    <row r="512" customFormat="false" ht="24.75" hidden="false" customHeight="true" outlineLevel="0" collapsed="false">
      <c r="A512" s="12" t="s">
        <v>988</v>
      </c>
      <c r="B512" s="8" t="s">
        <v>1222</v>
      </c>
      <c r="C512" s="8" t="s">
        <v>2209</v>
      </c>
      <c r="D512" s="12" t="s">
        <v>175</v>
      </c>
      <c r="E512" s="8" t="s">
        <v>2237</v>
      </c>
      <c r="F512" s="8" t="s">
        <v>2256</v>
      </c>
      <c r="G512" s="8" t="s">
        <v>2239</v>
      </c>
      <c r="H512" s="12" t="s">
        <v>194</v>
      </c>
      <c r="I512" s="8" t="s">
        <v>2213</v>
      </c>
      <c r="J512" s="8" t="s">
        <v>3006</v>
      </c>
      <c r="K512" s="8" t="s">
        <v>2215</v>
      </c>
    </row>
    <row r="513" customFormat="false" ht="24.75" hidden="false" customHeight="true" outlineLevel="0" collapsed="false">
      <c r="A513" s="12" t="s">
        <v>988</v>
      </c>
      <c r="B513" s="8" t="s">
        <v>1222</v>
      </c>
      <c r="C513" s="8" t="s">
        <v>2209</v>
      </c>
      <c r="D513" s="12" t="s">
        <v>176</v>
      </c>
      <c r="E513" s="8" t="s">
        <v>2481</v>
      </c>
      <c r="F513" s="8" t="s">
        <v>3007</v>
      </c>
      <c r="G513" s="8" t="s">
        <v>2483</v>
      </c>
      <c r="H513" s="12" t="s">
        <v>194</v>
      </c>
      <c r="I513" s="8" t="s">
        <v>2213</v>
      </c>
      <c r="J513" s="8" t="s">
        <v>3008</v>
      </c>
      <c r="K513" s="8" t="s">
        <v>2485</v>
      </c>
    </row>
    <row r="514" customFormat="false" ht="24.75" hidden="false" customHeight="true" outlineLevel="0" collapsed="false">
      <c r="A514" s="12" t="s">
        <v>988</v>
      </c>
      <c r="B514" s="8" t="s">
        <v>1222</v>
      </c>
      <c r="C514" s="8" t="s">
        <v>2209</v>
      </c>
      <c r="D514" s="12" t="s">
        <v>1982</v>
      </c>
      <c r="E514" s="8" t="s">
        <v>2703</v>
      </c>
      <c r="F514" s="8" t="s">
        <v>2704</v>
      </c>
      <c r="G514" s="8" t="s">
        <v>2705</v>
      </c>
      <c r="H514" s="12" t="s">
        <v>195</v>
      </c>
      <c r="I514" s="8" t="s">
        <v>2706</v>
      </c>
      <c r="J514" s="8" t="s">
        <v>3009</v>
      </c>
      <c r="K514" s="8" t="s">
        <v>2215</v>
      </c>
    </row>
    <row r="515" customFormat="false" ht="24.75" hidden="false" customHeight="true" outlineLevel="0" collapsed="false">
      <c r="A515" s="12" t="s">
        <v>1226</v>
      </c>
      <c r="B515" s="8" t="s">
        <v>1227</v>
      </c>
      <c r="C515" s="8" t="s">
        <v>2209</v>
      </c>
      <c r="D515" s="12" t="s">
        <v>172</v>
      </c>
      <c r="E515" s="8" t="s">
        <v>2210</v>
      </c>
      <c r="F515" s="8" t="s">
        <v>3010</v>
      </c>
      <c r="G515" s="8" t="s">
        <v>2212</v>
      </c>
      <c r="H515" s="12" t="s">
        <v>194</v>
      </c>
      <c r="I515" s="8" t="s">
        <v>2213</v>
      </c>
      <c r="J515" s="8" t="s">
        <v>3011</v>
      </c>
      <c r="K515" s="8" t="s">
        <v>2215</v>
      </c>
    </row>
    <row r="516" customFormat="false" ht="24.75" hidden="false" customHeight="true" outlineLevel="0" collapsed="false">
      <c r="A516" s="12" t="s">
        <v>1226</v>
      </c>
      <c r="B516" s="8" t="s">
        <v>1227</v>
      </c>
      <c r="C516" s="8" t="s">
        <v>2209</v>
      </c>
      <c r="D516" s="12" t="s">
        <v>172</v>
      </c>
      <c r="E516" s="8" t="s">
        <v>2210</v>
      </c>
      <c r="F516" s="8" t="s">
        <v>2826</v>
      </c>
      <c r="G516" s="8" t="s">
        <v>2212</v>
      </c>
      <c r="H516" s="12" t="s">
        <v>194</v>
      </c>
      <c r="I516" s="8" t="s">
        <v>2213</v>
      </c>
      <c r="J516" s="8" t="s">
        <v>3012</v>
      </c>
      <c r="K516" s="8" t="s">
        <v>2215</v>
      </c>
    </row>
    <row r="517" customFormat="false" ht="24.75" hidden="false" customHeight="true" outlineLevel="0" collapsed="false">
      <c r="A517" s="12" t="s">
        <v>1226</v>
      </c>
      <c r="B517" s="8" t="s">
        <v>1227</v>
      </c>
      <c r="C517" s="8" t="s">
        <v>2209</v>
      </c>
      <c r="D517" s="12" t="s">
        <v>172</v>
      </c>
      <c r="E517" s="8" t="s">
        <v>2210</v>
      </c>
      <c r="F517" s="8" t="s">
        <v>2826</v>
      </c>
      <c r="G517" s="8" t="s">
        <v>2212</v>
      </c>
      <c r="H517" s="12" t="s">
        <v>194</v>
      </c>
      <c r="I517" s="8" t="s">
        <v>2213</v>
      </c>
      <c r="J517" s="8" t="s">
        <v>3013</v>
      </c>
      <c r="K517" s="8" t="s">
        <v>2215</v>
      </c>
    </row>
    <row r="518" customFormat="false" ht="14.25" hidden="false" customHeight="false" outlineLevel="0" collapsed="false">
      <c r="A518" s="12" t="s">
        <v>1230</v>
      </c>
      <c r="B518" s="8" t="s">
        <v>1231</v>
      </c>
      <c r="C518" s="8" t="s">
        <v>2209</v>
      </c>
      <c r="D518" s="12" t="s">
        <v>171</v>
      </c>
      <c r="E518" s="8" t="s">
        <v>2221</v>
      </c>
      <c r="F518" s="8" t="s">
        <v>3014</v>
      </c>
      <c r="G518" s="8" t="s">
        <v>2223</v>
      </c>
      <c r="H518" s="12" t="s">
        <v>194</v>
      </c>
      <c r="I518" s="8" t="s">
        <v>2213</v>
      </c>
      <c r="J518" s="8" t="s">
        <v>3015</v>
      </c>
      <c r="K518" s="8" t="s">
        <v>2215</v>
      </c>
    </row>
    <row r="519" customFormat="false" ht="37.5" hidden="false" customHeight="true" outlineLevel="0" collapsed="false">
      <c r="A519" s="12" t="s">
        <v>1230</v>
      </c>
      <c r="B519" s="8" t="s">
        <v>1231</v>
      </c>
      <c r="C519" s="8" t="s">
        <v>2209</v>
      </c>
      <c r="D519" s="12" t="s">
        <v>172</v>
      </c>
      <c r="E519" s="8" t="s">
        <v>2210</v>
      </c>
      <c r="F519" s="8" t="s">
        <v>2826</v>
      </c>
      <c r="G519" s="8" t="s">
        <v>2212</v>
      </c>
      <c r="H519" s="12" t="s">
        <v>194</v>
      </c>
      <c r="I519" s="8" t="s">
        <v>2213</v>
      </c>
      <c r="J519" s="8" t="s">
        <v>3016</v>
      </c>
      <c r="K519" s="8" t="s">
        <v>2215</v>
      </c>
    </row>
    <row r="520" customFormat="false" ht="14.25" hidden="false" customHeight="false" outlineLevel="0" collapsed="false">
      <c r="A520" s="12" t="s">
        <v>1230</v>
      </c>
      <c r="B520" s="8" t="s">
        <v>1231</v>
      </c>
      <c r="C520" s="8" t="s">
        <v>2209</v>
      </c>
      <c r="D520" s="12" t="s">
        <v>173</v>
      </c>
      <c r="E520" s="8" t="s">
        <v>2260</v>
      </c>
      <c r="F520" s="8" t="s">
        <v>3003</v>
      </c>
      <c r="G520" s="8" t="s">
        <v>2262</v>
      </c>
      <c r="H520" s="12" t="s">
        <v>194</v>
      </c>
      <c r="I520" s="8" t="s">
        <v>2213</v>
      </c>
      <c r="J520" s="8" t="s">
        <v>3017</v>
      </c>
      <c r="K520" s="8" t="s">
        <v>2215</v>
      </c>
    </row>
    <row r="521" customFormat="false" ht="24.75" hidden="false" customHeight="true" outlineLevel="0" collapsed="false">
      <c r="A521" s="12" t="s">
        <v>1230</v>
      </c>
      <c r="B521" s="8" t="s">
        <v>1231</v>
      </c>
      <c r="C521" s="8" t="s">
        <v>2209</v>
      </c>
      <c r="D521" s="12" t="s">
        <v>175</v>
      </c>
      <c r="E521" s="8" t="s">
        <v>2237</v>
      </c>
      <c r="F521" s="8" t="s">
        <v>2256</v>
      </c>
      <c r="G521" s="8" t="s">
        <v>2239</v>
      </c>
      <c r="H521" s="12" t="s">
        <v>194</v>
      </c>
      <c r="I521" s="8" t="s">
        <v>2213</v>
      </c>
      <c r="J521" s="8" t="s">
        <v>3006</v>
      </c>
      <c r="K521" s="8" t="s">
        <v>2215</v>
      </c>
    </row>
    <row r="522" customFormat="false" ht="24.75" hidden="false" customHeight="true" outlineLevel="0" collapsed="false">
      <c r="A522" s="12" t="s">
        <v>1234</v>
      </c>
      <c r="B522" s="8" t="s">
        <v>1235</v>
      </c>
      <c r="C522" s="8" t="s">
        <v>2209</v>
      </c>
      <c r="D522" s="12" t="s">
        <v>172</v>
      </c>
      <c r="E522" s="8" t="s">
        <v>2210</v>
      </c>
      <c r="F522" s="8" t="s">
        <v>2826</v>
      </c>
      <c r="G522" s="8" t="s">
        <v>2212</v>
      </c>
      <c r="H522" s="12" t="s">
        <v>194</v>
      </c>
      <c r="I522" s="8" t="s">
        <v>2213</v>
      </c>
      <c r="J522" s="8" t="s">
        <v>3018</v>
      </c>
      <c r="K522" s="8" t="s">
        <v>2215</v>
      </c>
    </row>
    <row r="523" customFormat="false" ht="24.75" hidden="false" customHeight="true" outlineLevel="0" collapsed="false">
      <c r="A523" s="12" t="s">
        <v>1234</v>
      </c>
      <c r="B523" s="8" t="s">
        <v>1235</v>
      </c>
      <c r="C523" s="8" t="s">
        <v>2209</v>
      </c>
      <c r="D523" s="12" t="s">
        <v>172</v>
      </c>
      <c r="E523" s="8" t="s">
        <v>2210</v>
      </c>
      <c r="F523" s="8" t="s">
        <v>2826</v>
      </c>
      <c r="G523" s="8" t="s">
        <v>2212</v>
      </c>
      <c r="H523" s="12" t="s">
        <v>194</v>
      </c>
      <c r="I523" s="8" t="s">
        <v>2213</v>
      </c>
      <c r="J523" s="8" t="s">
        <v>3019</v>
      </c>
      <c r="K523" s="8" t="s">
        <v>2215</v>
      </c>
    </row>
    <row r="524" customFormat="false" ht="24.75" hidden="false" customHeight="true" outlineLevel="0" collapsed="false">
      <c r="A524" s="12" t="s">
        <v>1238</v>
      </c>
      <c r="B524" s="8" t="s">
        <v>1239</v>
      </c>
      <c r="C524" s="8" t="s">
        <v>2209</v>
      </c>
      <c r="D524" s="12" t="s">
        <v>171</v>
      </c>
      <c r="E524" s="8" t="s">
        <v>2221</v>
      </c>
      <c r="F524" s="8" t="s">
        <v>3020</v>
      </c>
      <c r="G524" s="8" t="s">
        <v>2223</v>
      </c>
      <c r="H524" s="12" t="s">
        <v>194</v>
      </c>
      <c r="I524" s="8" t="s">
        <v>2213</v>
      </c>
      <c r="J524" s="8" t="s">
        <v>3021</v>
      </c>
      <c r="K524" s="8" t="s">
        <v>2215</v>
      </c>
    </row>
    <row r="525" customFormat="false" ht="24.75" hidden="false" customHeight="true" outlineLevel="0" collapsed="false">
      <c r="A525" s="12" t="s">
        <v>1238</v>
      </c>
      <c r="B525" s="8" t="s">
        <v>1239</v>
      </c>
      <c r="C525" s="8" t="s">
        <v>2209</v>
      </c>
      <c r="D525" s="12" t="s">
        <v>171</v>
      </c>
      <c r="E525" s="8" t="s">
        <v>2221</v>
      </c>
      <c r="F525" s="8" t="s">
        <v>3022</v>
      </c>
      <c r="G525" s="8" t="s">
        <v>2397</v>
      </c>
      <c r="H525" s="12" t="s">
        <v>232</v>
      </c>
      <c r="I525" s="8" t="s">
        <v>2213</v>
      </c>
      <c r="J525" s="8" t="s">
        <v>3023</v>
      </c>
      <c r="K525" s="8" t="s">
        <v>2215</v>
      </c>
    </row>
    <row r="526" customFormat="false" ht="24.75" hidden="false" customHeight="true" outlineLevel="0" collapsed="false">
      <c r="A526" s="12" t="s">
        <v>1238</v>
      </c>
      <c r="B526" s="8" t="s">
        <v>1239</v>
      </c>
      <c r="C526" s="8" t="s">
        <v>2209</v>
      </c>
      <c r="D526" s="12" t="s">
        <v>172</v>
      </c>
      <c r="E526" s="8" t="s">
        <v>2210</v>
      </c>
      <c r="F526" s="8" t="s">
        <v>2479</v>
      </c>
      <c r="G526" s="8" t="s">
        <v>2212</v>
      </c>
      <c r="H526" s="12" t="s">
        <v>194</v>
      </c>
      <c r="I526" s="8" t="s">
        <v>2213</v>
      </c>
      <c r="J526" s="8" t="s">
        <v>3024</v>
      </c>
      <c r="K526" s="8" t="s">
        <v>2215</v>
      </c>
    </row>
    <row r="527" customFormat="false" ht="24.75" hidden="false" customHeight="true" outlineLevel="0" collapsed="false">
      <c r="A527" s="12" t="s">
        <v>1238</v>
      </c>
      <c r="B527" s="8" t="s">
        <v>1239</v>
      </c>
      <c r="C527" s="8" t="s">
        <v>2209</v>
      </c>
      <c r="D527" s="12" t="s">
        <v>173</v>
      </c>
      <c r="E527" s="8" t="s">
        <v>2260</v>
      </c>
      <c r="F527" s="8" t="s">
        <v>3003</v>
      </c>
      <c r="G527" s="8" t="s">
        <v>2262</v>
      </c>
      <c r="H527" s="12" t="s">
        <v>194</v>
      </c>
      <c r="I527" s="8" t="s">
        <v>2213</v>
      </c>
      <c r="J527" s="8" t="s">
        <v>3025</v>
      </c>
      <c r="K527" s="8" t="s">
        <v>2215</v>
      </c>
    </row>
    <row r="528" customFormat="false" ht="24.75" hidden="false" customHeight="true" outlineLevel="0" collapsed="false">
      <c r="A528" s="12" t="s">
        <v>1242</v>
      </c>
      <c r="B528" s="8" t="s">
        <v>1244</v>
      </c>
      <c r="C528" s="8" t="s">
        <v>2209</v>
      </c>
      <c r="D528" s="12" t="s">
        <v>172</v>
      </c>
      <c r="E528" s="8" t="s">
        <v>2210</v>
      </c>
      <c r="F528" s="8" t="s">
        <v>3026</v>
      </c>
      <c r="G528" s="8" t="s">
        <v>2212</v>
      </c>
      <c r="H528" s="12" t="s">
        <v>194</v>
      </c>
      <c r="I528" s="8" t="s">
        <v>2213</v>
      </c>
      <c r="J528" s="8" t="s">
        <v>3027</v>
      </c>
      <c r="K528" s="8" t="s">
        <v>2215</v>
      </c>
    </row>
    <row r="529" customFormat="false" ht="24.75" hidden="false" customHeight="true" outlineLevel="0" collapsed="false">
      <c r="A529" s="12" t="s">
        <v>1242</v>
      </c>
      <c r="B529" s="8" t="s">
        <v>1244</v>
      </c>
      <c r="C529" s="8" t="s">
        <v>2209</v>
      </c>
      <c r="D529" s="12" t="s">
        <v>172</v>
      </c>
      <c r="E529" s="8" t="s">
        <v>2210</v>
      </c>
      <c r="F529" s="8" t="s">
        <v>3026</v>
      </c>
      <c r="G529" s="8" t="s">
        <v>2212</v>
      </c>
      <c r="H529" s="12" t="s">
        <v>194</v>
      </c>
      <c r="I529" s="8" t="s">
        <v>2213</v>
      </c>
      <c r="J529" s="8" t="s">
        <v>3028</v>
      </c>
      <c r="K529" s="8" t="s">
        <v>2215</v>
      </c>
    </row>
    <row r="530" customFormat="false" ht="24.75" hidden="false" customHeight="true" outlineLevel="0" collapsed="false">
      <c r="A530" s="12" t="s">
        <v>1242</v>
      </c>
      <c r="B530" s="8" t="s">
        <v>1244</v>
      </c>
      <c r="C530" s="8" t="s">
        <v>2209</v>
      </c>
      <c r="D530" s="12" t="s">
        <v>172</v>
      </c>
      <c r="E530" s="8" t="s">
        <v>2210</v>
      </c>
      <c r="F530" s="8" t="s">
        <v>3029</v>
      </c>
      <c r="G530" s="8" t="s">
        <v>2212</v>
      </c>
      <c r="H530" s="12" t="s">
        <v>194</v>
      </c>
      <c r="I530" s="8" t="s">
        <v>2213</v>
      </c>
      <c r="J530" s="8" t="s">
        <v>3030</v>
      </c>
      <c r="K530" s="8" t="s">
        <v>2215</v>
      </c>
    </row>
    <row r="531" customFormat="false" ht="24.75" hidden="false" customHeight="true" outlineLevel="0" collapsed="false">
      <c r="A531" s="12" t="s">
        <v>1248</v>
      </c>
      <c r="B531" s="8" t="s">
        <v>1249</v>
      </c>
      <c r="C531" s="8" t="s">
        <v>2209</v>
      </c>
      <c r="D531" s="12" t="s">
        <v>171</v>
      </c>
      <c r="E531" s="8" t="s">
        <v>2221</v>
      </c>
      <c r="F531" s="8" t="s">
        <v>3031</v>
      </c>
      <c r="G531" s="8" t="s">
        <v>2223</v>
      </c>
      <c r="H531" s="12" t="s">
        <v>194</v>
      </c>
      <c r="I531" s="8" t="s">
        <v>2213</v>
      </c>
      <c r="J531" s="8" t="s">
        <v>3032</v>
      </c>
      <c r="K531" s="8" t="s">
        <v>2215</v>
      </c>
    </row>
    <row r="532" customFormat="false" ht="24.75" hidden="false" customHeight="true" outlineLevel="0" collapsed="false">
      <c r="A532" s="12" t="s">
        <v>1248</v>
      </c>
      <c r="B532" s="8" t="s">
        <v>1249</v>
      </c>
      <c r="C532" s="8" t="s">
        <v>2209</v>
      </c>
      <c r="D532" s="12" t="s">
        <v>172</v>
      </c>
      <c r="E532" s="8" t="s">
        <v>2210</v>
      </c>
      <c r="F532" s="8" t="s">
        <v>2477</v>
      </c>
      <c r="G532" s="8" t="s">
        <v>2212</v>
      </c>
      <c r="H532" s="12" t="s">
        <v>194</v>
      </c>
      <c r="I532" s="8" t="s">
        <v>2213</v>
      </c>
      <c r="J532" s="8" t="s">
        <v>3033</v>
      </c>
      <c r="K532" s="8" t="s">
        <v>2215</v>
      </c>
    </row>
    <row r="533" customFormat="false" ht="24.75" hidden="false" customHeight="true" outlineLevel="0" collapsed="false">
      <c r="A533" s="12" t="s">
        <v>1248</v>
      </c>
      <c r="B533" s="8" t="s">
        <v>1249</v>
      </c>
      <c r="C533" s="8" t="s">
        <v>2209</v>
      </c>
      <c r="D533" s="12" t="s">
        <v>172</v>
      </c>
      <c r="E533" s="8" t="s">
        <v>2210</v>
      </c>
      <c r="F533" s="8" t="s">
        <v>2477</v>
      </c>
      <c r="G533" s="8" t="s">
        <v>2212</v>
      </c>
      <c r="H533" s="12" t="s">
        <v>194</v>
      </c>
      <c r="I533" s="8" t="s">
        <v>2213</v>
      </c>
      <c r="J533" s="8" t="s">
        <v>3034</v>
      </c>
      <c r="K533" s="8" t="s">
        <v>2215</v>
      </c>
    </row>
    <row r="534" customFormat="false" ht="24.75" hidden="false" customHeight="true" outlineLevel="0" collapsed="false">
      <c r="A534" s="12" t="s">
        <v>1248</v>
      </c>
      <c r="B534" s="8" t="s">
        <v>1249</v>
      </c>
      <c r="C534" s="8" t="s">
        <v>2209</v>
      </c>
      <c r="D534" s="12" t="s">
        <v>172</v>
      </c>
      <c r="E534" s="8" t="s">
        <v>2210</v>
      </c>
      <c r="F534" s="8" t="s">
        <v>2477</v>
      </c>
      <c r="G534" s="8" t="s">
        <v>2542</v>
      </c>
      <c r="H534" s="12" t="s">
        <v>810</v>
      </c>
      <c r="I534" s="8" t="s">
        <v>2213</v>
      </c>
      <c r="J534" s="8" t="s">
        <v>3035</v>
      </c>
      <c r="K534" s="8" t="s">
        <v>2215</v>
      </c>
    </row>
    <row r="535" customFormat="false" ht="37.5" hidden="false" customHeight="true" outlineLevel="0" collapsed="false">
      <c r="A535" s="12" t="s">
        <v>1254</v>
      </c>
      <c r="B535" s="8" t="s">
        <v>1256</v>
      </c>
      <c r="C535" s="8" t="s">
        <v>2209</v>
      </c>
      <c r="D535" s="12" t="s">
        <v>171</v>
      </c>
      <c r="E535" s="8" t="s">
        <v>2221</v>
      </c>
      <c r="F535" s="8" t="s">
        <v>2599</v>
      </c>
      <c r="G535" s="8" t="s">
        <v>2223</v>
      </c>
      <c r="H535" s="12" t="s">
        <v>194</v>
      </c>
      <c r="I535" s="8" t="s">
        <v>2213</v>
      </c>
      <c r="J535" s="8" t="s">
        <v>2600</v>
      </c>
      <c r="K535" s="8" t="s">
        <v>2215</v>
      </c>
    </row>
    <row r="536" customFormat="false" ht="37.5" hidden="false" customHeight="true" outlineLevel="0" collapsed="false">
      <c r="A536" s="12" t="s">
        <v>1254</v>
      </c>
      <c r="B536" s="8" t="s">
        <v>1256</v>
      </c>
      <c r="C536" s="8" t="s">
        <v>2209</v>
      </c>
      <c r="D536" s="12" t="s">
        <v>172</v>
      </c>
      <c r="E536" s="8" t="s">
        <v>2210</v>
      </c>
      <c r="F536" s="8" t="s">
        <v>2414</v>
      </c>
      <c r="G536" s="8" t="s">
        <v>2212</v>
      </c>
      <c r="H536" s="12" t="s">
        <v>194</v>
      </c>
      <c r="I536" s="8" t="s">
        <v>2213</v>
      </c>
      <c r="J536" s="8" t="s">
        <v>3036</v>
      </c>
      <c r="K536" s="8" t="s">
        <v>2215</v>
      </c>
    </row>
    <row r="537" customFormat="false" ht="24.75" hidden="false" customHeight="true" outlineLevel="0" collapsed="false">
      <c r="A537" s="12" t="s">
        <v>1254</v>
      </c>
      <c r="B537" s="8" t="s">
        <v>1256</v>
      </c>
      <c r="C537" s="8" t="s">
        <v>2209</v>
      </c>
      <c r="D537" s="12" t="s">
        <v>172</v>
      </c>
      <c r="E537" s="8" t="s">
        <v>2210</v>
      </c>
      <c r="F537" s="8" t="s">
        <v>2414</v>
      </c>
      <c r="G537" s="8" t="s">
        <v>2212</v>
      </c>
      <c r="H537" s="12" t="s">
        <v>194</v>
      </c>
      <c r="I537" s="8" t="s">
        <v>2213</v>
      </c>
      <c r="J537" s="8" t="s">
        <v>3037</v>
      </c>
      <c r="K537" s="8" t="s">
        <v>2215</v>
      </c>
    </row>
    <row r="538" customFormat="false" ht="24.75" hidden="false" customHeight="true" outlineLevel="0" collapsed="false">
      <c r="A538" s="12" t="s">
        <v>1261</v>
      </c>
      <c r="B538" s="8" t="s">
        <v>1262</v>
      </c>
      <c r="C538" s="8" t="s">
        <v>2209</v>
      </c>
      <c r="D538" s="12" t="s">
        <v>171</v>
      </c>
      <c r="E538" s="8" t="s">
        <v>2221</v>
      </c>
      <c r="F538" s="8" t="s">
        <v>3038</v>
      </c>
      <c r="G538" s="8" t="s">
        <v>2223</v>
      </c>
      <c r="H538" s="12" t="s">
        <v>194</v>
      </c>
      <c r="I538" s="8" t="s">
        <v>2213</v>
      </c>
      <c r="J538" s="8" t="s">
        <v>3039</v>
      </c>
      <c r="K538" s="8" t="s">
        <v>2215</v>
      </c>
    </row>
    <row r="539" customFormat="false" ht="14.25" hidden="false" customHeight="false" outlineLevel="0" collapsed="false">
      <c r="A539" s="12" t="s">
        <v>1261</v>
      </c>
      <c r="B539" s="8" t="s">
        <v>1262</v>
      </c>
      <c r="C539" s="8" t="s">
        <v>2209</v>
      </c>
      <c r="D539" s="12" t="s">
        <v>171</v>
      </c>
      <c r="E539" s="8" t="s">
        <v>2221</v>
      </c>
      <c r="F539" s="8" t="s">
        <v>3040</v>
      </c>
      <c r="G539" s="8" t="s">
        <v>2223</v>
      </c>
      <c r="H539" s="12" t="s">
        <v>194</v>
      </c>
      <c r="I539" s="8" t="s">
        <v>2213</v>
      </c>
      <c r="J539" s="8" t="s">
        <v>3041</v>
      </c>
      <c r="K539" s="8" t="s">
        <v>2215</v>
      </c>
    </row>
    <row r="540" customFormat="false" ht="14.25" hidden="false" customHeight="false" outlineLevel="0" collapsed="false">
      <c r="A540" s="12" t="s">
        <v>1261</v>
      </c>
      <c r="B540" s="8" t="s">
        <v>1262</v>
      </c>
      <c r="C540" s="8" t="s">
        <v>2209</v>
      </c>
      <c r="D540" s="12" t="s">
        <v>171</v>
      </c>
      <c r="E540" s="8" t="s">
        <v>2221</v>
      </c>
      <c r="F540" s="8" t="s">
        <v>3042</v>
      </c>
      <c r="G540" s="8" t="s">
        <v>2223</v>
      </c>
      <c r="H540" s="12" t="s">
        <v>194</v>
      </c>
      <c r="I540" s="8" t="s">
        <v>2213</v>
      </c>
      <c r="J540" s="8" t="s">
        <v>3043</v>
      </c>
      <c r="K540" s="8" t="s">
        <v>2215</v>
      </c>
    </row>
    <row r="541" customFormat="false" ht="37.5" hidden="false" customHeight="true" outlineLevel="0" collapsed="false">
      <c r="A541" s="12" t="s">
        <v>1261</v>
      </c>
      <c r="B541" s="8" t="s">
        <v>1262</v>
      </c>
      <c r="C541" s="8" t="s">
        <v>2209</v>
      </c>
      <c r="D541" s="12" t="s">
        <v>172</v>
      </c>
      <c r="E541" s="8" t="s">
        <v>2210</v>
      </c>
      <c r="F541" s="8" t="s">
        <v>2227</v>
      </c>
      <c r="G541" s="8" t="s">
        <v>2212</v>
      </c>
      <c r="H541" s="12" t="s">
        <v>194</v>
      </c>
      <c r="I541" s="8" t="s">
        <v>2213</v>
      </c>
      <c r="J541" s="8" t="s">
        <v>3044</v>
      </c>
      <c r="K541" s="8" t="s">
        <v>2215</v>
      </c>
    </row>
    <row r="542" customFormat="false" ht="14.25" hidden="false" customHeight="false" outlineLevel="0" collapsed="false">
      <c r="A542" s="12" t="s">
        <v>1268</v>
      </c>
      <c r="B542" s="8" t="s">
        <v>1269</v>
      </c>
      <c r="C542" s="8" t="s">
        <v>2209</v>
      </c>
      <c r="D542" s="12" t="s">
        <v>171</v>
      </c>
      <c r="E542" s="8" t="s">
        <v>2221</v>
      </c>
      <c r="F542" s="8" t="s">
        <v>3045</v>
      </c>
      <c r="G542" s="8" t="s">
        <v>2223</v>
      </c>
      <c r="H542" s="12" t="s">
        <v>194</v>
      </c>
      <c r="I542" s="8" t="s">
        <v>2213</v>
      </c>
      <c r="J542" s="8" t="s">
        <v>3046</v>
      </c>
      <c r="K542" s="8" t="s">
        <v>2215</v>
      </c>
    </row>
    <row r="543" customFormat="false" ht="14.25" hidden="false" customHeight="false" outlineLevel="0" collapsed="false">
      <c r="A543" s="12" t="s">
        <v>1268</v>
      </c>
      <c r="B543" s="8" t="s">
        <v>1269</v>
      </c>
      <c r="C543" s="8" t="s">
        <v>2209</v>
      </c>
      <c r="D543" s="12" t="s">
        <v>171</v>
      </c>
      <c r="E543" s="8" t="s">
        <v>2221</v>
      </c>
      <c r="F543" s="8" t="s">
        <v>3047</v>
      </c>
      <c r="G543" s="8" t="s">
        <v>2223</v>
      </c>
      <c r="H543" s="12" t="s">
        <v>194</v>
      </c>
      <c r="I543" s="8" t="s">
        <v>2213</v>
      </c>
      <c r="J543" s="8" t="s">
        <v>3048</v>
      </c>
      <c r="K543" s="8" t="s">
        <v>2215</v>
      </c>
    </row>
    <row r="544" customFormat="false" ht="14.25" hidden="false" customHeight="false" outlineLevel="0" collapsed="false">
      <c r="A544" s="12" t="s">
        <v>1268</v>
      </c>
      <c r="B544" s="8" t="s">
        <v>1269</v>
      </c>
      <c r="C544" s="8" t="s">
        <v>2209</v>
      </c>
      <c r="D544" s="12" t="s">
        <v>171</v>
      </c>
      <c r="E544" s="8" t="s">
        <v>2221</v>
      </c>
      <c r="F544" s="8" t="s">
        <v>3049</v>
      </c>
      <c r="G544" s="8" t="s">
        <v>2223</v>
      </c>
      <c r="H544" s="12" t="s">
        <v>194</v>
      </c>
      <c r="I544" s="8" t="s">
        <v>2213</v>
      </c>
      <c r="J544" s="8" t="s">
        <v>3050</v>
      </c>
      <c r="K544" s="8" t="s">
        <v>2215</v>
      </c>
    </row>
    <row r="545" customFormat="false" ht="24.75" hidden="false" customHeight="true" outlineLevel="0" collapsed="false">
      <c r="A545" s="12" t="s">
        <v>1268</v>
      </c>
      <c r="B545" s="8" t="s">
        <v>1269</v>
      </c>
      <c r="C545" s="8" t="s">
        <v>2209</v>
      </c>
      <c r="D545" s="12" t="s">
        <v>172</v>
      </c>
      <c r="E545" s="8" t="s">
        <v>2210</v>
      </c>
      <c r="F545" s="8" t="s">
        <v>2414</v>
      </c>
      <c r="G545" s="8" t="s">
        <v>2542</v>
      </c>
      <c r="H545" s="12" t="s">
        <v>810</v>
      </c>
      <c r="I545" s="8" t="s">
        <v>2213</v>
      </c>
      <c r="J545" s="8" t="s">
        <v>3051</v>
      </c>
      <c r="K545" s="8" t="s">
        <v>2215</v>
      </c>
    </row>
    <row r="546" customFormat="false" ht="24.75" hidden="false" customHeight="true" outlineLevel="0" collapsed="false">
      <c r="A546" s="12" t="s">
        <v>1274</v>
      </c>
      <c r="B546" s="8" t="s">
        <v>1275</v>
      </c>
      <c r="C546" s="8" t="s">
        <v>2209</v>
      </c>
      <c r="D546" s="12" t="s">
        <v>171</v>
      </c>
      <c r="E546" s="8" t="s">
        <v>2221</v>
      </c>
      <c r="F546" s="8" t="s">
        <v>3052</v>
      </c>
      <c r="G546" s="8" t="s">
        <v>2223</v>
      </c>
      <c r="H546" s="12" t="s">
        <v>194</v>
      </c>
      <c r="I546" s="8" t="s">
        <v>2213</v>
      </c>
      <c r="J546" s="8" t="s">
        <v>3053</v>
      </c>
      <c r="K546" s="8" t="s">
        <v>2215</v>
      </c>
    </row>
    <row r="547" customFormat="false" ht="37.5" hidden="false" customHeight="true" outlineLevel="0" collapsed="false">
      <c r="A547" s="12" t="s">
        <v>1274</v>
      </c>
      <c r="B547" s="8" t="s">
        <v>1275</v>
      </c>
      <c r="C547" s="8" t="s">
        <v>2209</v>
      </c>
      <c r="D547" s="12" t="s">
        <v>171</v>
      </c>
      <c r="E547" s="8" t="s">
        <v>2221</v>
      </c>
      <c r="F547" s="8" t="s">
        <v>3054</v>
      </c>
      <c r="G547" s="8" t="s">
        <v>2223</v>
      </c>
      <c r="H547" s="12" t="s">
        <v>194</v>
      </c>
      <c r="I547" s="8" t="s">
        <v>2213</v>
      </c>
      <c r="J547" s="8" t="s">
        <v>3055</v>
      </c>
      <c r="K547" s="8" t="s">
        <v>2215</v>
      </c>
    </row>
    <row r="548" customFormat="false" ht="24.75" hidden="false" customHeight="true" outlineLevel="0" collapsed="false">
      <c r="A548" s="12" t="s">
        <v>1274</v>
      </c>
      <c r="B548" s="8" t="s">
        <v>1275</v>
      </c>
      <c r="C548" s="8" t="s">
        <v>2209</v>
      </c>
      <c r="D548" s="12" t="s">
        <v>171</v>
      </c>
      <c r="E548" s="8" t="s">
        <v>2221</v>
      </c>
      <c r="F548" s="8" t="s">
        <v>3056</v>
      </c>
      <c r="G548" s="8" t="s">
        <v>2223</v>
      </c>
      <c r="H548" s="12" t="s">
        <v>194</v>
      </c>
      <c r="I548" s="8" t="s">
        <v>2213</v>
      </c>
      <c r="J548" s="8" t="s">
        <v>3057</v>
      </c>
      <c r="K548" s="8" t="s">
        <v>2215</v>
      </c>
    </row>
    <row r="549" customFormat="false" ht="24.75" hidden="false" customHeight="true" outlineLevel="0" collapsed="false">
      <c r="A549" s="12" t="s">
        <v>1274</v>
      </c>
      <c r="B549" s="8" t="s">
        <v>1275</v>
      </c>
      <c r="C549" s="8" t="s">
        <v>2209</v>
      </c>
      <c r="D549" s="12" t="s">
        <v>171</v>
      </c>
      <c r="E549" s="8" t="s">
        <v>2221</v>
      </c>
      <c r="F549" s="8" t="s">
        <v>3058</v>
      </c>
      <c r="G549" s="8" t="s">
        <v>2223</v>
      </c>
      <c r="H549" s="12" t="s">
        <v>194</v>
      </c>
      <c r="I549" s="8" t="s">
        <v>2213</v>
      </c>
      <c r="J549" s="8" t="s">
        <v>3059</v>
      </c>
      <c r="K549" s="8" t="s">
        <v>2215</v>
      </c>
    </row>
    <row r="550" customFormat="false" ht="24.75" hidden="false" customHeight="true" outlineLevel="0" collapsed="false">
      <c r="A550" s="12" t="s">
        <v>1274</v>
      </c>
      <c r="B550" s="8" t="s">
        <v>1275</v>
      </c>
      <c r="C550" s="8" t="s">
        <v>2209</v>
      </c>
      <c r="D550" s="12" t="s">
        <v>172</v>
      </c>
      <c r="E550" s="8" t="s">
        <v>2210</v>
      </c>
      <c r="F550" s="8" t="s">
        <v>2414</v>
      </c>
      <c r="G550" s="8" t="s">
        <v>2212</v>
      </c>
      <c r="H550" s="12" t="s">
        <v>194</v>
      </c>
      <c r="I550" s="8" t="s">
        <v>2213</v>
      </c>
      <c r="J550" s="8" t="s">
        <v>3060</v>
      </c>
      <c r="K550" s="8" t="s">
        <v>2215</v>
      </c>
    </row>
    <row r="551" customFormat="false" ht="24.75" hidden="false" customHeight="true" outlineLevel="0" collapsed="false">
      <c r="A551" s="12" t="s">
        <v>1274</v>
      </c>
      <c r="B551" s="8" t="s">
        <v>1275</v>
      </c>
      <c r="C551" s="8" t="s">
        <v>2209</v>
      </c>
      <c r="D551" s="12" t="s">
        <v>176</v>
      </c>
      <c r="E551" s="8" t="s">
        <v>2481</v>
      </c>
      <c r="F551" s="8" t="s">
        <v>3061</v>
      </c>
      <c r="G551" s="8" t="s">
        <v>2483</v>
      </c>
      <c r="H551" s="12" t="s">
        <v>194</v>
      </c>
      <c r="I551" s="8" t="s">
        <v>2213</v>
      </c>
      <c r="J551" s="8" t="s">
        <v>3062</v>
      </c>
      <c r="K551" s="8" t="s">
        <v>2485</v>
      </c>
    </row>
    <row r="552" customFormat="false" ht="24.75" hidden="false" customHeight="true" outlineLevel="0" collapsed="false">
      <c r="A552" s="12" t="s">
        <v>1280</v>
      </c>
      <c r="B552" s="8" t="s">
        <v>1281</v>
      </c>
      <c r="C552" s="8" t="s">
        <v>2209</v>
      </c>
      <c r="D552" s="12" t="s">
        <v>172</v>
      </c>
      <c r="E552" s="8" t="s">
        <v>2210</v>
      </c>
      <c r="F552" s="8" t="s">
        <v>2414</v>
      </c>
      <c r="G552" s="8" t="s">
        <v>2212</v>
      </c>
      <c r="H552" s="12" t="s">
        <v>194</v>
      </c>
      <c r="I552" s="8" t="s">
        <v>2213</v>
      </c>
      <c r="J552" s="8" t="s">
        <v>3063</v>
      </c>
      <c r="K552" s="8" t="s">
        <v>2215</v>
      </c>
    </row>
    <row r="553" customFormat="false" ht="24.75" hidden="false" customHeight="true" outlineLevel="0" collapsed="false">
      <c r="A553" s="12" t="s">
        <v>1280</v>
      </c>
      <c r="B553" s="8" t="s">
        <v>1281</v>
      </c>
      <c r="C553" s="8" t="s">
        <v>2209</v>
      </c>
      <c r="D553" s="12" t="s">
        <v>172</v>
      </c>
      <c r="E553" s="8" t="s">
        <v>2210</v>
      </c>
      <c r="F553" s="8" t="s">
        <v>2414</v>
      </c>
      <c r="G553" s="8" t="s">
        <v>2212</v>
      </c>
      <c r="H553" s="12" t="s">
        <v>194</v>
      </c>
      <c r="I553" s="8" t="s">
        <v>2213</v>
      </c>
      <c r="J553" s="8" t="s">
        <v>3064</v>
      </c>
      <c r="K553" s="8" t="s">
        <v>2215</v>
      </c>
    </row>
    <row r="554" customFormat="false" ht="24.75" hidden="false" customHeight="true" outlineLevel="0" collapsed="false">
      <c r="A554" s="12" t="s">
        <v>1280</v>
      </c>
      <c r="B554" s="8" t="s">
        <v>1281</v>
      </c>
      <c r="C554" s="8" t="s">
        <v>2209</v>
      </c>
      <c r="D554" s="12" t="s">
        <v>172</v>
      </c>
      <c r="E554" s="8" t="s">
        <v>2210</v>
      </c>
      <c r="F554" s="8" t="s">
        <v>2414</v>
      </c>
      <c r="G554" s="8" t="s">
        <v>2212</v>
      </c>
      <c r="H554" s="12" t="s">
        <v>194</v>
      </c>
      <c r="I554" s="8" t="s">
        <v>2213</v>
      </c>
      <c r="J554" s="8" t="s">
        <v>3065</v>
      </c>
      <c r="K554" s="8" t="s">
        <v>2215</v>
      </c>
    </row>
    <row r="555" customFormat="false" ht="24.75" hidden="false" customHeight="true" outlineLevel="0" collapsed="false">
      <c r="A555" s="12" t="s">
        <v>1284</v>
      </c>
      <c r="B555" s="8" t="s">
        <v>1285</v>
      </c>
      <c r="C555" s="8" t="s">
        <v>2209</v>
      </c>
      <c r="D555" s="12" t="s">
        <v>172</v>
      </c>
      <c r="E555" s="8" t="s">
        <v>2210</v>
      </c>
      <c r="F555" s="8" t="s">
        <v>2227</v>
      </c>
      <c r="G555" s="8" t="s">
        <v>2212</v>
      </c>
      <c r="H555" s="12" t="s">
        <v>194</v>
      </c>
      <c r="I555" s="8" t="s">
        <v>2213</v>
      </c>
      <c r="J555" s="8" t="s">
        <v>3066</v>
      </c>
      <c r="K555" s="8" t="s">
        <v>2215</v>
      </c>
    </row>
    <row r="556" customFormat="false" ht="24.75" hidden="false" customHeight="true" outlineLevel="0" collapsed="false">
      <c r="A556" s="12" t="s">
        <v>1284</v>
      </c>
      <c r="B556" s="8" t="s">
        <v>1285</v>
      </c>
      <c r="C556" s="8" t="s">
        <v>2209</v>
      </c>
      <c r="D556" s="12" t="s">
        <v>172</v>
      </c>
      <c r="E556" s="8" t="s">
        <v>2210</v>
      </c>
      <c r="F556" s="8" t="s">
        <v>2227</v>
      </c>
      <c r="G556" s="8" t="s">
        <v>2212</v>
      </c>
      <c r="H556" s="12" t="s">
        <v>194</v>
      </c>
      <c r="I556" s="8" t="s">
        <v>2213</v>
      </c>
      <c r="J556" s="8" t="s">
        <v>3067</v>
      </c>
      <c r="K556" s="8" t="s">
        <v>2215</v>
      </c>
    </row>
    <row r="557" customFormat="false" ht="24.75" hidden="false" customHeight="true" outlineLevel="0" collapsed="false">
      <c r="A557" s="12" t="s">
        <v>1284</v>
      </c>
      <c r="B557" s="8" t="s">
        <v>1285</v>
      </c>
      <c r="C557" s="8" t="s">
        <v>2209</v>
      </c>
      <c r="D557" s="12" t="s">
        <v>172</v>
      </c>
      <c r="E557" s="8" t="s">
        <v>2210</v>
      </c>
      <c r="F557" s="8" t="s">
        <v>2841</v>
      </c>
      <c r="G557" s="8" t="s">
        <v>2212</v>
      </c>
      <c r="H557" s="12" t="s">
        <v>194</v>
      </c>
      <c r="I557" s="8" t="s">
        <v>2213</v>
      </c>
      <c r="J557" s="8" t="s">
        <v>3068</v>
      </c>
      <c r="K557" s="8" t="s">
        <v>2215</v>
      </c>
    </row>
    <row r="558" customFormat="false" ht="37.5" hidden="false" customHeight="true" outlineLevel="0" collapsed="false">
      <c r="A558" s="12" t="s">
        <v>1290</v>
      </c>
      <c r="B558" s="8" t="s">
        <v>1293</v>
      </c>
      <c r="C558" s="8" t="s">
        <v>2209</v>
      </c>
      <c r="D558" s="12" t="s">
        <v>171</v>
      </c>
      <c r="E558" s="8" t="s">
        <v>2221</v>
      </c>
      <c r="F558" s="8" t="s">
        <v>3069</v>
      </c>
      <c r="G558" s="8" t="s">
        <v>2223</v>
      </c>
      <c r="H558" s="12" t="s">
        <v>194</v>
      </c>
      <c r="I558" s="8" t="s">
        <v>2213</v>
      </c>
      <c r="J558" s="8" t="s">
        <v>3070</v>
      </c>
      <c r="K558" s="8" t="s">
        <v>2215</v>
      </c>
    </row>
    <row r="559" customFormat="false" ht="24.75" hidden="false" customHeight="true" outlineLevel="0" collapsed="false">
      <c r="A559" s="12" t="s">
        <v>1290</v>
      </c>
      <c r="B559" s="8" t="s">
        <v>1293</v>
      </c>
      <c r="C559" s="8" t="s">
        <v>2209</v>
      </c>
      <c r="D559" s="12" t="s">
        <v>175</v>
      </c>
      <c r="E559" s="8" t="s">
        <v>2237</v>
      </c>
      <c r="F559" s="8" t="s">
        <v>2256</v>
      </c>
      <c r="G559" s="8" t="s">
        <v>2239</v>
      </c>
      <c r="H559" s="12" t="s">
        <v>194</v>
      </c>
      <c r="I559" s="8" t="s">
        <v>2213</v>
      </c>
      <c r="J559" s="8" t="s">
        <v>3071</v>
      </c>
      <c r="K559" s="8" t="s">
        <v>2215</v>
      </c>
    </row>
    <row r="560" customFormat="false" ht="24.75" hidden="false" customHeight="true" outlineLevel="0" collapsed="false">
      <c r="A560" s="12" t="s">
        <v>1290</v>
      </c>
      <c r="B560" s="8" t="s">
        <v>1293</v>
      </c>
      <c r="C560" s="8" t="s">
        <v>2209</v>
      </c>
      <c r="D560" s="12" t="s">
        <v>176</v>
      </c>
      <c r="E560" s="8" t="s">
        <v>2481</v>
      </c>
      <c r="F560" s="8" t="s">
        <v>3072</v>
      </c>
      <c r="G560" s="8" t="s">
        <v>2483</v>
      </c>
      <c r="H560" s="12" t="s">
        <v>194</v>
      </c>
      <c r="I560" s="8" t="s">
        <v>2213</v>
      </c>
      <c r="J560" s="8" t="s">
        <v>3073</v>
      </c>
      <c r="K560" s="8" t="s">
        <v>2485</v>
      </c>
    </row>
    <row r="561" customFormat="false" ht="14.25" hidden="false" customHeight="false" outlineLevel="0" collapsed="false">
      <c r="A561" s="12" t="s">
        <v>982</v>
      </c>
      <c r="B561" s="8" t="s">
        <v>1298</v>
      </c>
      <c r="C561" s="8" t="s">
        <v>2209</v>
      </c>
      <c r="D561" s="12" t="s">
        <v>171</v>
      </c>
      <c r="E561" s="8" t="s">
        <v>2221</v>
      </c>
      <c r="F561" s="8" t="s">
        <v>3074</v>
      </c>
      <c r="G561" s="8" t="s">
        <v>2223</v>
      </c>
      <c r="H561" s="12" t="s">
        <v>194</v>
      </c>
      <c r="I561" s="8" t="s">
        <v>2213</v>
      </c>
      <c r="J561" s="8" t="s">
        <v>3075</v>
      </c>
      <c r="K561" s="8" t="s">
        <v>2215</v>
      </c>
    </row>
    <row r="562" customFormat="false" ht="24.75" hidden="false" customHeight="true" outlineLevel="0" collapsed="false">
      <c r="A562" s="12" t="s">
        <v>982</v>
      </c>
      <c r="B562" s="8" t="s">
        <v>1298</v>
      </c>
      <c r="C562" s="8" t="s">
        <v>2209</v>
      </c>
      <c r="D562" s="12" t="s">
        <v>171</v>
      </c>
      <c r="E562" s="8" t="s">
        <v>2221</v>
      </c>
      <c r="F562" s="8" t="s">
        <v>3076</v>
      </c>
      <c r="G562" s="8" t="s">
        <v>2223</v>
      </c>
      <c r="H562" s="12" t="s">
        <v>194</v>
      </c>
      <c r="I562" s="8" t="s">
        <v>2213</v>
      </c>
      <c r="J562" s="8" t="s">
        <v>3077</v>
      </c>
      <c r="K562" s="8" t="s">
        <v>2215</v>
      </c>
    </row>
    <row r="563" customFormat="false" ht="24.75" hidden="false" customHeight="true" outlineLevel="0" collapsed="false">
      <c r="A563" s="12" t="s">
        <v>982</v>
      </c>
      <c r="B563" s="8" t="s">
        <v>1298</v>
      </c>
      <c r="C563" s="8" t="s">
        <v>2209</v>
      </c>
      <c r="D563" s="12" t="s">
        <v>172</v>
      </c>
      <c r="E563" s="8" t="s">
        <v>2210</v>
      </c>
      <c r="F563" s="8" t="s">
        <v>3078</v>
      </c>
      <c r="G563" s="8" t="s">
        <v>2212</v>
      </c>
      <c r="H563" s="12" t="s">
        <v>194</v>
      </c>
      <c r="I563" s="8" t="s">
        <v>2213</v>
      </c>
      <c r="J563" s="8" t="s">
        <v>3079</v>
      </c>
      <c r="K563" s="8" t="s">
        <v>2215</v>
      </c>
    </row>
    <row r="564" customFormat="false" ht="24.75" hidden="false" customHeight="true" outlineLevel="0" collapsed="false">
      <c r="A564" s="12" t="s">
        <v>982</v>
      </c>
      <c r="B564" s="8" t="s">
        <v>1298</v>
      </c>
      <c r="C564" s="8" t="s">
        <v>2209</v>
      </c>
      <c r="D564" s="12" t="s">
        <v>175</v>
      </c>
      <c r="E564" s="8" t="s">
        <v>2237</v>
      </c>
      <c r="F564" s="8" t="s">
        <v>3080</v>
      </c>
      <c r="G564" s="8" t="s">
        <v>2239</v>
      </c>
      <c r="H564" s="12" t="s">
        <v>194</v>
      </c>
      <c r="I564" s="8" t="s">
        <v>2213</v>
      </c>
      <c r="J564" s="8" t="s">
        <v>3081</v>
      </c>
      <c r="K564" s="8" t="s">
        <v>2215</v>
      </c>
    </row>
    <row r="565" customFormat="false" ht="24.75" hidden="false" customHeight="true" outlineLevel="0" collapsed="false">
      <c r="A565" s="12" t="s">
        <v>982</v>
      </c>
      <c r="B565" s="8" t="s">
        <v>1298</v>
      </c>
      <c r="C565" s="8" t="s">
        <v>2209</v>
      </c>
      <c r="D565" s="12" t="s">
        <v>1981</v>
      </c>
      <c r="E565" s="8" t="s">
        <v>2939</v>
      </c>
      <c r="F565" s="8" t="s">
        <v>2940</v>
      </c>
      <c r="G565" s="8" t="s">
        <v>2941</v>
      </c>
      <c r="H565" s="12" t="s">
        <v>195</v>
      </c>
      <c r="I565" s="8" t="s">
        <v>2706</v>
      </c>
      <c r="J565" s="8" t="s">
        <v>3082</v>
      </c>
      <c r="K565" s="8" t="s">
        <v>2215</v>
      </c>
    </row>
    <row r="566" customFormat="false" ht="24.75" hidden="false" customHeight="true" outlineLevel="0" collapsed="false">
      <c r="A566" s="12" t="s">
        <v>1302</v>
      </c>
      <c r="B566" s="8" t="s">
        <v>1304</v>
      </c>
      <c r="C566" s="8" t="s">
        <v>2209</v>
      </c>
      <c r="D566" s="12" t="s">
        <v>171</v>
      </c>
      <c r="E566" s="8" t="s">
        <v>2221</v>
      </c>
      <c r="F566" s="8" t="s">
        <v>3083</v>
      </c>
      <c r="G566" s="8" t="s">
        <v>2223</v>
      </c>
      <c r="H566" s="12" t="s">
        <v>194</v>
      </c>
      <c r="I566" s="8" t="s">
        <v>2213</v>
      </c>
      <c r="J566" s="8" t="s">
        <v>3084</v>
      </c>
      <c r="K566" s="8" t="s">
        <v>2215</v>
      </c>
    </row>
    <row r="567" customFormat="false" ht="24.75" hidden="false" customHeight="true" outlineLevel="0" collapsed="false">
      <c r="A567" s="12" t="s">
        <v>1302</v>
      </c>
      <c r="B567" s="8" t="s">
        <v>1304</v>
      </c>
      <c r="C567" s="8" t="s">
        <v>2209</v>
      </c>
      <c r="D567" s="12" t="s">
        <v>171</v>
      </c>
      <c r="E567" s="8" t="s">
        <v>2221</v>
      </c>
      <c r="F567" s="8" t="s">
        <v>3085</v>
      </c>
      <c r="G567" s="8" t="s">
        <v>2408</v>
      </c>
      <c r="H567" s="12" t="s">
        <v>194</v>
      </c>
      <c r="I567" s="8" t="s">
        <v>2213</v>
      </c>
      <c r="J567" s="8" t="s">
        <v>3086</v>
      </c>
      <c r="K567" s="8" t="s">
        <v>2215</v>
      </c>
    </row>
    <row r="568" customFormat="false" ht="24.75" hidden="false" customHeight="true" outlineLevel="0" collapsed="false">
      <c r="A568" s="12" t="s">
        <v>1302</v>
      </c>
      <c r="B568" s="8" t="s">
        <v>1304</v>
      </c>
      <c r="C568" s="8" t="s">
        <v>2209</v>
      </c>
      <c r="D568" s="12" t="s">
        <v>171</v>
      </c>
      <c r="E568" s="8" t="s">
        <v>2221</v>
      </c>
      <c r="F568" s="8" t="s">
        <v>3087</v>
      </c>
      <c r="G568" s="8" t="s">
        <v>2223</v>
      </c>
      <c r="H568" s="12" t="s">
        <v>194</v>
      </c>
      <c r="I568" s="8" t="s">
        <v>2213</v>
      </c>
      <c r="J568" s="8" t="s">
        <v>3088</v>
      </c>
      <c r="K568" s="8" t="s">
        <v>2215</v>
      </c>
    </row>
    <row r="569" customFormat="false" ht="24.75" hidden="false" customHeight="true" outlineLevel="0" collapsed="false">
      <c r="A569" s="12" t="s">
        <v>1302</v>
      </c>
      <c r="B569" s="8" t="s">
        <v>1304</v>
      </c>
      <c r="C569" s="8" t="s">
        <v>2209</v>
      </c>
      <c r="D569" s="12" t="s">
        <v>172</v>
      </c>
      <c r="E569" s="8" t="s">
        <v>2210</v>
      </c>
      <c r="F569" s="8" t="s">
        <v>3089</v>
      </c>
      <c r="G569" s="8" t="s">
        <v>2212</v>
      </c>
      <c r="H569" s="12" t="s">
        <v>194</v>
      </c>
      <c r="I569" s="8" t="s">
        <v>2213</v>
      </c>
      <c r="J569" s="8" t="s">
        <v>3090</v>
      </c>
      <c r="K569" s="8" t="s">
        <v>2215</v>
      </c>
    </row>
    <row r="570" customFormat="false" ht="24.75" hidden="false" customHeight="true" outlineLevel="0" collapsed="false">
      <c r="A570" s="12" t="s">
        <v>1302</v>
      </c>
      <c r="B570" s="8" t="s">
        <v>1304</v>
      </c>
      <c r="C570" s="8" t="s">
        <v>2209</v>
      </c>
      <c r="D570" s="12" t="s">
        <v>175</v>
      </c>
      <c r="E570" s="8" t="s">
        <v>2237</v>
      </c>
      <c r="F570" s="8" t="s">
        <v>2256</v>
      </c>
      <c r="G570" s="8" t="s">
        <v>2239</v>
      </c>
      <c r="H570" s="12" t="s">
        <v>194</v>
      </c>
      <c r="I570" s="8" t="s">
        <v>2213</v>
      </c>
      <c r="J570" s="8" t="s">
        <v>3091</v>
      </c>
      <c r="K570" s="8" t="s">
        <v>2215</v>
      </c>
    </row>
    <row r="571" customFormat="false" ht="14.25" hidden="false" customHeight="false" outlineLevel="0" collapsed="false">
      <c r="A571" s="12" t="s">
        <v>1307</v>
      </c>
      <c r="B571" s="8" t="s">
        <v>1308</v>
      </c>
      <c r="C571" s="8" t="s">
        <v>2209</v>
      </c>
      <c r="D571" s="12" t="s">
        <v>171</v>
      </c>
      <c r="E571" s="8" t="s">
        <v>2221</v>
      </c>
      <c r="F571" s="8" t="s">
        <v>3092</v>
      </c>
      <c r="G571" s="8" t="s">
        <v>2223</v>
      </c>
      <c r="H571" s="12" t="s">
        <v>194</v>
      </c>
      <c r="I571" s="8" t="s">
        <v>2213</v>
      </c>
      <c r="J571" s="8" t="s">
        <v>3093</v>
      </c>
      <c r="K571" s="8" t="s">
        <v>2215</v>
      </c>
    </row>
    <row r="572" customFormat="false" ht="24.75" hidden="false" customHeight="true" outlineLevel="0" collapsed="false">
      <c r="A572" s="12" t="s">
        <v>1307</v>
      </c>
      <c r="B572" s="8" t="s">
        <v>1308</v>
      </c>
      <c r="C572" s="8" t="s">
        <v>2209</v>
      </c>
      <c r="D572" s="12" t="s">
        <v>171</v>
      </c>
      <c r="E572" s="8" t="s">
        <v>2221</v>
      </c>
      <c r="F572" s="8" t="s">
        <v>2506</v>
      </c>
      <c r="G572" s="8" t="s">
        <v>2223</v>
      </c>
      <c r="H572" s="12" t="s">
        <v>194</v>
      </c>
      <c r="I572" s="8" t="s">
        <v>2213</v>
      </c>
      <c r="J572" s="8" t="s">
        <v>2507</v>
      </c>
      <c r="K572" s="8" t="s">
        <v>2215</v>
      </c>
    </row>
    <row r="573" customFormat="false" ht="24.75" hidden="false" customHeight="true" outlineLevel="0" collapsed="false">
      <c r="A573" s="12" t="s">
        <v>1311</v>
      </c>
      <c r="B573" s="8" t="s">
        <v>1312</v>
      </c>
      <c r="C573" s="8" t="s">
        <v>2209</v>
      </c>
      <c r="D573" s="12" t="s">
        <v>172</v>
      </c>
      <c r="E573" s="8" t="s">
        <v>2210</v>
      </c>
      <c r="F573" s="8" t="s">
        <v>2865</v>
      </c>
      <c r="G573" s="8" t="s">
        <v>2212</v>
      </c>
      <c r="H573" s="12" t="s">
        <v>194</v>
      </c>
      <c r="I573" s="8" t="s">
        <v>2213</v>
      </c>
      <c r="J573" s="8" t="s">
        <v>3094</v>
      </c>
      <c r="K573" s="8" t="s">
        <v>2215</v>
      </c>
    </row>
    <row r="574" customFormat="false" ht="24.75" hidden="false" customHeight="true" outlineLevel="0" collapsed="false">
      <c r="A574" s="12" t="s">
        <v>1311</v>
      </c>
      <c r="B574" s="8" t="s">
        <v>1312</v>
      </c>
      <c r="C574" s="8" t="s">
        <v>2209</v>
      </c>
      <c r="D574" s="12" t="s">
        <v>1981</v>
      </c>
      <c r="E574" s="8" t="s">
        <v>2939</v>
      </c>
      <c r="F574" s="8" t="s">
        <v>2940</v>
      </c>
      <c r="G574" s="8" t="s">
        <v>2941</v>
      </c>
      <c r="H574" s="12" t="s">
        <v>195</v>
      </c>
      <c r="I574" s="8" t="s">
        <v>2706</v>
      </c>
      <c r="J574" s="8" t="s">
        <v>3095</v>
      </c>
      <c r="K574" s="8" t="s">
        <v>2215</v>
      </c>
    </row>
    <row r="575" customFormat="false" ht="14.25" hidden="false" customHeight="false" outlineLevel="0" collapsed="false">
      <c r="A575" s="12" t="s">
        <v>1314</v>
      </c>
      <c r="B575" s="8" t="s">
        <v>1316</v>
      </c>
      <c r="C575" s="8" t="s">
        <v>2209</v>
      </c>
      <c r="D575" s="12" t="s">
        <v>171</v>
      </c>
      <c r="E575" s="8" t="s">
        <v>2221</v>
      </c>
      <c r="F575" s="8" t="s">
        <v>3096</v>
      </c>
      <c r="G575" s="8" t="s">
        <v>2223</v>
      </c>
      <c r="H575" s="12" t="s">
        <v>194</v>
      </c>
      <c r="I575" s="8" t="s">
        <v>2213</v>
      </c>
      <c r="J575" s="8" t="s">
        <v>3097</v>
      </c>
      <c r="K575" s="8" t="s">
        <v>2215</v>
      </c>
    </row>
    <row r="576" customFormat="false" ht="37.5" hidden="false" customHeight="true" outlineLevel="0" collapsed="false">
      <c r="A576" s="12" t="s">
        <v>1314</v>
      </c>
      <c r="B576" s="8" t="s">
        <v>1316</v>
      </c>
      <c r="C576" s="8" t="s">
        <v>2209</v>
      </c>
      <c r="D576" s="12" t="s">
        <v>172</v>
      </c>
      <c r="E576" s="8" t="s">
        <v>2210</v>
      </c>
      <c r="F576" s="8" t="s">
        <v>3098</v>
      </c>
      <c r="G576" s="8" t="s">
        <v>2212</v>
      </c>
      <c r="H576" s="12" t="s">
        <v>194</v>
      </c>
      <c r="I576" s="8" t="s">
        <v>2213</v>
      </c>
      <c r="J576" s="8" t="s">
        <v>3099</v>
      </c>
      <c r="K576" s="8" t="s">
        <v>2215</v>
      </c>
    </row>
    <row r="577" customFormat="false" ht="24.75" hidden="false" customHeight="true" outlineLevel="0" collapsed="false">
      <c r="A577" s="12" t="s">
        <v>1314</v>
      </c>
      <c r="B577" s="8" t="s">
        <v>1316</v>
      </c>
      <c r="C577" s="8" t="s">
        <v>2209</v>
      </c>
      <c r="D577" s="12" t="s">
        <v>1983</v>
      </c>
      <c r="E577" s="8" t="s">
        <v>3100</v>
      </c>
      <c r="F577" s="8" t="s">
        <v>3101</v>
      </c>
      <c r="G577" s="8" t="s">
        <v>3102</v>
      </c>
      <c r="H577" s="12" t="s">
        <v>194</v>
      </c>
      <c r="I577" s="8" t="s">
        <v>2706</v>
      </c>
      <c r="J577" s="8" t="s">
        <v>3103</v>
      </c>
      <c r="K577" s="8" t="s">
        <v>2215</v>
      </c>
    </row>
    <row r="578" customFormat="false" ht="24.75" hidden="false" customHeight="true" outlineLevel="0" collapsed="false">
      <c r="A578" s="12" t="s">
        <v>1321</v>
      </c>
      <c r="B578" s="8" t="s">
        <v>1322</v>
      </c>
      <c r="C578" s="8" t="s">
        <v>2209</v>
      </c>
      <c r="D578" s="12" t="s">
        <v>171</v>
      </c>
      <c r="E578" s="8" t="s">
        <v>2221</v>
      </c>
      <c r="F578" s="8" t="s">
        <v>3104</v>
      </c>
      <c r="G578" s="8" t="s">
        <v>2223</v>
      </c>
      <c r="H578" s="12" t="s">
        <v>194</v>
      </c>
      <c r="I578" s="8" t="s">
        <v>2213</v>
      </c>
      <c r="J578" s="8" t="s">
        <v>3105</v>
      </c>
      <c r="K578" s="8" t="s">
        <v>2215</v>
      </c>
    </row>
    <row r="579" customFormat="false" ht="24.75" hidden="false" customHeight="true" outlineLevel="0" collapsed="false">
      <c r="A579" s="12" t="s">
        <v>1321</v>
      </c>
      <c r="B579" s="8" t="s">
        <v>1322</v>
      </c>
      <c r="C579" s="8" t="s">
        <v>2209</v>
      </c>
      <c r="D579" s="12" t="s">
        <v>174</v>
      </c>
      <c r="E579" s="8" t="s">
        <v>2216</v>
      </c>
      <c r="F579" s="8" t="s">
        <v>2405</v>
      </c>
      <c r="G579" s="8" t="s">
        <v>2218</v>
      </c>
      <c r="H579" s="12" t="s">
        <v>195</v>
      </c>
      <c r="I579" s="8" t="s">
        <v>2213</v>
      </c>
      <c r="J579" s="8" t="s">
        <v>3106</v>
      </c>
      <c r="K579" s="8" t="s">
        <v>2215</v>
      </c>
    </row>
    <row r="580" customFormat="false" ht="14.25" hidden="false" customHeight="false" outlineLevel="0" collapsed="false">
      <c r="A580" s="12" t="s">
        <v>1002</v>
      </c>
      <c r="B580" s="8" t="s">
        <v>1328</v>
      </c>
      <c r="C580" s="8" t="s">
        <v>2209</v>
      </c>
      <c r="D580" s="12" t="s">
        <v>171</v>
      </c>
      <c r="E580" s="8" t="s">
        <v>2221</v>
      </c>
      <c r="F580" s="8" t="s">
        <v>3107</v>
      </c>
      <c r="G580" s="8" t="s">
        <v>2738</v>
      </c>
      <c r="H580" s="12" t="s">
        <v>232</v>
      </c>
      <c r="I580" s="8" t="s">
        <v>2213</v>
      </c>
      <c r="J580" s="8" t="s">
        <v>3108</v>
      </c>
      <c r="K580" s="8" t="s">
        <v>2215</v>
      </c>
    </row>
    <row r="581" customFormat="false" ht="24.75" hidden="false" customHeight="true" outlineLevel="0" collapsed="false">
      <c r="A581" s="12" t="s">
        <v>1002</v>
      </c>
      <c r="B581" s="8" t="s">
        <v>1328</v>
      </c>
      <c r="C581" s="8" t="s">
        <v>2209</v>
      </c>
      <c r="D581" s="12" t="s">
        <v>172</v>
      </c>
      <c r="E581" s="8" t="s">
        <v>2210</v>
      </c>
      <c r="F581" s="8" t="s">
        <v>3109</v>
      </c>
      <c r="G581" s="8" t="s">
        <v>2212</v>
      </c>
      <c r="H581" s="12" t="s">
        <v>194</v>
      </c>
      <c r="I581" s="8" t="s">
        <v>2213</v>
      </c>
      <c r="J581" s="8" t="s">
        <v>3110</v>
      </c>
      <c r="K581" s="8" t="s">
        <v>2215</v>
      </c>
    </row>
    <row r="582" customFormat="false" ht="24.75" hidden="false" customHeight="true" outlineLevel="0" collapsed="false">
      <c r="A582" s="12" t="s">
        <v>1002</v>
      </c>
      <c r="B582" s="8" t="s">
        <v>1328</v>
      </c>
      <c r="C582" s="8" t="s">
        <v>2209</v>
      </c>
      <c r="D582" s="12" t="s">
        <v>173</v>
      </c>
      <c r="E582" s="8" t="s">
        <v>2260</v>
      </c>
      <c r="F582" s="8" t="s">
        <v>2462</v>
      </c>
      <c r="G582" s="8" t="s">
        <v>2463</v>
      </c>
      <c r="H582" s="12" t="s">
        <v>232</v>
      </c>
      <c r="I582" s="8" t="s">
        <v>2213</v>
      </c>
      <c r="J582" s="8" t="s">
        <v>3111</v>
      </c>
      <c r="K582" s="8" t="s">
        <v>2215</v>
      </c>
    </row>
    <row r="583" customFormat="false" ht="24.75" hidden="false" customHeight="true" outlineLevel="0" collapsed="false">
      <c r="A583" s="12" t="s">
        <v>1002</v>
      </c>
      <c r="B583" s="8" t="s">
        <v>1328</v>
      </c>
      <c r="C583" s="8" t="s">
        <v>2209</v>
      </c>
      <c r="D583" s="12" t="s">
        <v>174</v>
      </c>
      <c r="E583" s="8" t="s">
        <v>2216</v>
      </c>
      <c r="F583" s="8" t="s">
        <v>2217</v>
      </c>
      <c r="G583" s="8" t="s">
        <v>2218</v>
      </c>
      <c r="H583" s="12" t="s">
        <v>195</v>
      </c>
      <c r="I583" s="8" t="s">
        <v>2213</v>
      </c>
      <c r="J583" s="8" t="s">
        <v>3112</v>
      </c>
      <c r="K583" s="8" t="s">
        <v>2215</v>
      </c>
    </row>
    <row r="584" customFormat="false" ht="24.75" hidden="false" customHeight="true" outlineLevel="0" collapsed="false">
      <c r="A584" s="12" t="s">
        <v>1002</v>
      </c>
      <c r="B584" s="8" t="s">
        <v>1328</v>
      </c>
      <c r="C584" s="8" t="s">
        <v>2209</v>
      </c>
      <c r="D584" s="12" t="s">
        <v>1981</v>
      </c>
      <c r="E584" s="8" t="s">
        <v>2939</v>
      </c>
      <c r="F584" s="8" t="s">
        <v>2940</v>
      </c>
      <c r="G584" s="8" t="s">
        <v>2973</v>
      </c>
      <c r="H584" s="12" t="s">
        <v>194</v>
      </c>
      <c r="I584" s="8" t="s">
        <v>2706</v>
      </c>
      <c r="J584" s="8" t="s">
        <v>3113</v>
      </c>
      <c r="K584" s="8" t="s">
        <v>2215</v>
      </c>
    </row>
    <row r="585" customFormat="false" ht="24.75" hidden="false" customHeight="true" outlineLevel="0" collapsed="false">
      <c r="A585" s="12" t="s">
        <v>1002</v>
      </c>
      <c r="B585" s="8" t="s">
        <v>1328</v>
      </c>
      <c r="C585" s="8" t="s">
        <v>2209</v>
      </c>
      <c r="D585" s="12" t="s">
        <v>1981</v>
      </c>
      <c r="E585" s="8" t="s">
        <v>2939</v>
      </c>
      <c r="F585" s="8" t="s">
        <v>2940</v>
      </c>
      <c r="G585" s="8" t="s">
        <v>2973</v>
      </c>
      <c r="H585" s="12" t="s">
        <v>194</v>
      </c>
      <c r="I585" s="8" t="s">
        <v>2706</v>
      </c>
      <c r="J585" s="8" t="s">
        <v>3114</v>
      </c>
      <c r="K585" s="8" t="s">
        <v>2215</v>
      </c>
    </row>
    <row r="586" customFormat="false" ht="24.75" hidden="false" customHeight="true" outlineLevel="0" collapsed="false">
      <c r="A586" s="12" t="s">
        <v>1002</v>
      </c>
      <c r="B586" s="8" t="s">
        <v>1328</v>
      </c>
      <c r="C586" s="8" t="s">
        <v>2209</v>
      </c>
      <c r="D586" s="12" t="s">
        <v>1981</v>
      </c>
      <c r="E586" s="8" t="s">
        <v>2939</v>
      </c>
      <c r="F586" s="8" t="s">
        <v>2940</v>
      </c>
      <c r="G586" s="8" t="s">
        <v>2973</v>
      </c>
      <c r="H586" s="12" t="s">
        <v>194</v>
      </c>
      <c r="I586" s="8" t="s">
        <v>2706</v>
      </c>
      <c r="J586" s="8" t="s">
        <v>3115</v>
      </c>
      <c r="K586" s="8" t="s">
        <v>2215</v>
      </c>
    </row>
    <row r="587" customFormat="false" ht="24.75" hidden="false" customHeight="true" outlineLevel="0" collapsed="false">
      <c r="A587" s="12" t="s">
        <v>1002</v>
      </c>
      <c r="B587" s="8" t="s">
        <v>1328</v>
      </c>
      <c r="C587" s="8" t="s">
        <v>2209</v>
      </c>
      <c r="D587" s="12" t="s">
        <v>1981</v>
      </c>
      <c r="E587" s="8" t="s">
        <v>2939</v>
      </c>
      <c r="F587" s="8" t="s">
        <v>2940</v>
      </c>
      <c r="G587" s="8" t="s">
        <v>3116</v>
      </c>
      <c r="H587" s="12" t="s">
        <v>232</v>
      </c>
      <c r="I587" s="8" t="s">
        <v>2706</v>
      </c>
      <c r="J587" s="8" t="s">
        <v>3117</v>
      </c>
      <c r="K587" s="8" t="s">
        <v>2215</v>
      </c>
    </row>
    <row r="588" customFormat="false" ht="24.75" hidden="false" customHeight="true" outlineLevel="0" collapsed="false">
      <c r="A588" s="12" t="s">
        <v>1002</v>
      </c>
      <c r="B588" s="8" t="s">
        <v>1328</v>
      </c>
      <c r="C588" s="8" t="s">
        <v>2209</v>
      </c>
      <c r="D588" s="12" t="s">
        <v>1982</v>
      </c>
      <c r="E588" s="8" t="s">
        <v>2703</v>
      </c>
      <c r="F588" s="8" t="s">
        <v>2704</v>
      </c>
      <c r="G588" s="8" t="s">
        <v>2705</v>
      </c>
      <c r="H588" s="12" t="s">
        <v>195</v>
      </c>
      <c r="I588" s="8" t="s">
        <v>2706</v>
      </c>
      <c r="J588" s="8" t="s">
        <v>3118</v>
      </c>
      <c r="K588" s="8" t="s">
        <v>2215</v>
      </c>
    </row>
    <row r="589" customFormat="false" ht="24.75" hidden="false" customHeight="true" outlineLevel="0" collapsed="false">
      <c r="A589" s="12" t="s">
        <v>1333</v>
      </c>
      <c r="B589" s="8" t="s">
        <v>1335</v>
      </c>
      <c r="C589" s="8" t="s">
        <v>2209</v>
      </c>
      <c r="D589" s="12" t="s">
        <v>172</v>
      </c>
      <c r="E589" s="8" t="s">
        <v>2210</v>
      </c>
      <c r="F589" s="8" t="s">
        <v>3119</v>
      </c>
      <c r="G589" s="8" t="s">
        <v>2212</v>
      </c>
      <c r="H589" s="12" t="s">
        <v>194</v>
      </c>
      <c r="I589" s="8" t="s">
        <v>2213</v>
      </c>
      <c r="J589" s="8" t="s">
        <v>3120</v>
      </c>
      <c r="K589" s="8" t="s">
        <v>2215</v>
      </c>
    </row>
    <row r="590" customFormat="false" ht="24.75" hidden="false" customHeight="true" outlineLevel="0" collapsed="false">
      <c r="A590" s="12" t="s">
        <v>1333</v>
      </c>
      <c r="B590" s="8" t="s">
        <v>1335</v>
      </c>
      <c r="C590" s="8" t="s">
        <v>2209</v>
      </c>
      <c r="D590" s="12" t="s">
        <v>173</v>
      </c>
      <c r="E590" s="8" t="s">
        <v>2260</v>
      </c>
      <c r="F590" s="8" t="s">
        <v>2508</v>
      </c>
      <c r="G590" s="8" t="s">
        <v>2262</v>
      </c>
      <c r="H590" s="12" t="s">
        <v>194</v>
      </c>
      <c r="I590" s="8" t="s">
        <v>2213</v>
      </c>
      <c r="J590" s="8" t="s">
        <v>3121</v>
      </c>
      <c r="K590" s="8" t="s">
        <v>2215</v>
      </c>
    </row>
    <row r="591" customFormat="false" ht="24.75" hidden="false" customHeight="true" outlineLevel="0" collapsed="false">
      <c r="A591" s="12" t="s">
        <v>1333</v>
      </c>
      <c r="B591" s="8" t="s">
        <v>1335</v>
      </c>
      <c r="C591" s="8" t="s">
        <v>2209</v>
      </c>
      <c r="D591" s="12" t="s">
        <v>174</v>
      </c>
      <c r="E591" s="8" t="s">
        <v>2216</v>
      </c>
      <c r="F591" s="8" t="s">
        <v>2217</v>
      </c>
      <c r="G591" s="8" t="s">
        <v>2218</v>
      </c>
      <c r="H591" s="12" t="s">
        <v>195</v>
      </c>
      <c r="I591" s="8" t="s">
        <v>2213</v>
      </c>
      <c r="J591" s="8" t="s">
        <v>3122</v>
      </c>
      <c r="K591" s="8" t="s">
        <v>2215</v>
      </c>
    </row>
    <row r="592" customFormat="false" ht="24.75" hidden="false" customHeight="true" outlineLevel="0" collapsed="false">
      <c r="A592" s="12" t="s">
        <v>1333</v>
      </c>
      <c r="B592" s="8" t="s">
        <v>1335</v>
      </c>
      <c r="C592" s="8" t="s">
        <v>2209</v>
      </c>
      <c r="D592" s="12" t="s">
        <v>176</v>
      </c>
      <c r="E592" s="8" t="s">
        <v>2481</v>
      </c>
      <c r="F592" s="8" t="s">
        <v>3123</v>
      </c>
      <c r="G592" s="8" t="s">
        <v>2483</v>
      </c>
      <c r="H592" s="12" t="s">
        <v>194</v>
      </c>
      <c r="I592" s="8" t="s">
        <v>2213</v>
      </c>
      <c r="J592" s="8" t="s">
        <v>3124</v>
      </c>
      <c r="K592" s="8" t="s">
        <v>2485</v>
      </c>
    </row>
    <row r="593" customFormat="false" ht="24.75" hidden="false" customHeight="true" outlineLevel="0" collapsed="false">
      <c r="A593" s="12" t="s">
        <v>1333</v>
      </c>
      <c r="B593" s="8" t="s">
        <v>1335</v>
      </c>
      <c r="C593" s="8" t="s">
        <v>2209</v>
      </c>
      <c r="D593" s="12" t="s">
        <v>176</v>
      </c>
      <c r="E593" s="8" t="s">
        <v>2481</v>
      </c>
      <c r="F593" s="8" t="s">
        <v>3125</v>
      </c>
      <c r="G593" s="8" t="s">
        <v>2483</v>
      </c>
      <c r="H593" s="12" t="s">
        <v>194</v>
      </c>
      <c r="I593" s="8" t="s">
        <v>2213</v>
      </c>
      <c r="J593" s="8" t="s">
        <v>3126</v>
      </c>
      <c r="K593" s="8" t="s">
        <v>2485</v>
      </c>
    </row>
    <row r="594" customFormat="false" ht="24.75" hidden="false" customHeight="true" outlineLevel="0" collapsed="false">
      <c r="A594" s="12" t="s">
        <v>1333</v>
      </c>
      <c r="B594" s="8" t="s">
        <v>1335</v>
      </c>
      <c r="C594" s="8" t="s">
        <v>2209</v>
      </c>
      <c r="D594" s="12" t="s">
        <v>1982</v>
      </c>
      <c r="E594" s="8" t="s">
        <v>2703</v>
      </c>
      <c r="F594" s="8" t="s">
        <v>2704</v>
      </c>
      <c r="G594" s="8" t="s">
        <v>2705</v>
      </c>
      <c r="H594" s="12" t="s">
        <v>195</v>
      </c>
      <c r="I594" s="8" t="s">
        <v>2706</v>
      </c>
      <c r="J594" s="8" t="s">
        <v>3127</v>
      </c>
      <c r="K594" s="8" t="s">
        <v>2215</v>
      </c>
    </row>
    <row r="595" customFormat="false" ht="24.75" hidden="false" customHeight="true" outlineLevel="0" collapsed="false">
      <c r="A595" s="12" t="s">
        <v>1333</v>
      </c>
      <c r="B595" s="8" t="s">
        <v>1335</v>
      </c>
      <c r="C595" s="8" t="s">
        <v>2209</v>
      </c>
      <c r="D595" s="12" t="s">
        <v>1984</v>
      </c>
      <c r="E595" s="8" t="s">
        <v>2997</v>
      </c>
      <c r="F595" s="8" t="s">
        <v>3128</v>
      </c>
      <c r="G595" s="8" t="s">
        <v>2483</v>
      </c>
      <c r="H595" s="12" t="s">
        <v>194</v>
      </c>
      <c r="I595" s="8" t="s">
        <v>2706</v>
      </c>
      <c r="J595" s="8" t="s">
        <v>3129</v>
      </c>
      <c r="K595" s="8" t="s">
        <v>2215</v>
      </c>
    </row>
    <row r="596" customFormat="false" ht="24.75" hidden="false" customHeight="true" outlineLevel="0" collapsed="false">
      <c r="A596" s="12" t="s">
        <v>1340</v>
      </c>
      <c r="B596" s="8" t="s">
        <v>1342</v>
      </c>
      <c r="C596" s="8" t="s">
        <v>2209</v>
      </c>
      <c r="D596" s="12" t="s">
        <v>171</v>
      </c>
      <c r="E596" s="8" t="s">
        <v>2221</v>
      </c>
      <c r="F596" s="8" t="s">
        <v>2593</v>
      </c>
      <c r="G596" s="8" t="s">
        <v>2223</v>
      </c>
      <c r="H596" s="12" t="s">
        <v>194</v>
      </c>
      <c r="I596" s="8" t="s">
        <v>2213</v>
      </c>
      <c r="J596" s="8" t="s">
        <v>2594</v>
      </c>
      <c r="K596" s="8" t="s">
        <v>2215</v>
      </c>
    </row>
    <row r="597" customFormat="false" ht="24.75" hidden="false" customHeight="true" outlineLevel="0" collapsed="false">
      <c r="A597" s="12" t="s">
        <v>1340</v>
      </c>
      <c r="B597" s="8" t="s">
        <v>1342</v>
      </c>
      <c r="C597" s="8" t="s">
        <v>2209</v>
      </c>
      <c r="D597" s="12" t="s">
        <v>171</v>
      </c>
      <c r="E597" s="8" t="s">
        <v>2221</v>
      </c>
      <c r="F597" s="8" t="s">
        <v>3130</v>
      </c>
      <c r="G597" s="8" t="s">
        <v>2223</v>
      </c>
      <c r="H597" s="12" t="s">
        <v>194</v>
      </c>
      <c r="I597" s="8" t="s">
        <v>2213</v>
      </c>
      <c r="J597" s="8" t="s">
        <v>3131</v>
      </c>
      <c r="K597" s="8" t="s">
        <v>2215</v>
      </c>
    </row>
    <row r="598" customFormat="false" ht="24.75" hidden="false" customHeight="true" outlineLevel="0" collapsed="false">
      <c r="A598" s="12" t="s">
        <v>1340</v>
      </c>
      <c r="B598" s="8" t="s">
        <v>1342</v>
      </c>
      <c r="C598" s="8" t="s">
        <v>2209</v>
      </c>
      <c r="D598" s="12" t="s">
        <v>171</v>
      </c>
      <c r="E598" s="8" t="s">
        <v>2221</v>
      </c>
      <c r="F598" s="8" t="s">
        <v>3132</v>
      </c>
      <c r="G598" s="8" t="s">
        <v>2223</v>
      </c>
      <c r="H598" s="12" t="s">
        <v>194</v>
      </c>
      <c r="I598" s="8" t="s">
        <v>2213</v>
      </c>
      <c r="J598" s="8" t="s">
        <v>3133</v>
      </c>
      <c r="K598" s="8" t="s">
        <v>2215</v>
      </c>
    </row>
    <row r="599" customFormat="false" ht="24.75" hidden="false" customHeight="true" outlineLevel="0" collapsed="false">
      <c r="A599" s="12" t="s">
        <v>1340</v>
      </c>
      <c r="B599" s="8" t="s">
        <v>1342</v>
      </c>
      <c r="C599" s="8" t="s">
        <v>2209</v>
      </c>
      <c r="D599" s="12" t="s">
        <v>171</v>
      </c>
      <c r="E599" s="8" t="s">
        <v>2221</v>
      </c>
      <c r="F599" s="8" t="s">
        <v>3134</v>
      </c>
      <c r="G599" s="8" t="s">
        <v>2223</v>
      </c>
      <c r="H599" s="12" t="s">
        <v>194</v>
      </c>
      <c r="I599" s="8" t="s">
        <v>2213</v>
      </c>
      <c r="J599" s="8" t="s">
        <v>3135</v>
      </c>
      <c r="K599" s="8" t="s">
        <v>2215</v>
      </c>
    </row>
    <row r="600" customFormat="false" ht="24.75" hidden="false" customHeight="true" outlineLevel="0" collapsed="false">
      <c r="A600" s="12" t="s">
        <v>1340</v>
      </c>
      <c r="B600" s="8" t="s">
        <v>1342</v>
      </c>
      <c r="C600" s="8" t="s">
        <v>2209</v>
      </c>
      <c r="D600" s="12" t="s">
        <v>176</v>
      </c>
      <c r="E600" s="8" t="s">
        <v>2481</v>
      </c>
      <c r="F600" s="8" t="s">
        <v>3136</v>
      </c>
      <c r="G600" s="8" t="s">
        <v>2483</v>
      </c>
      <c r="H600" s="12" t="s">
        <v>194</v>
      </c>
      <c r="I600" s="8" t="s">
        <v>2213</v>
      </c>
      <c r="J600" s="8" t="s">
        <v>3137</v>
      </c>
      <c r="K600" s="8" t="s">
        <v>2485</v>
      </c>
    </row>
    <row r="601" customFormat="false" ht="24.75" hidden="false" customHeight="true" outlineLevel="0" collapsed="false">
      <c r="A601" s="12" t="s">
        <v>1340</v>
      </c>
      <c r="B601" s="8" t="s">
        <v>1342</v>
      </c>
      <c r="C601" s="8" t="s">
        <v>2209</v>
      </c>
      <c r="D601" s="12" t="s">
        <v>1984</v>
      </c>
      <c r="E601" s="8" t="s">
        <v>2997</v>
      </c>
      <c r="F601" s="8" t="s">
        <v>3138</v>
      </c>
      <c r="G601" s="8" t="s">
        <v>2483</v>
      </c>
      <c r="H601" s="12" t="s">
        <v>194</v>
      </c>
      <c r="I601" s="8" t="s">
        <v>2706</v>
      </c>
      <c r="J601" s="8" t="s">
        <v>3139</v>
      </c>
      <c r="K601" s="8" t="s">
        <v>2215</v>
      </c>
    </row>
    <row r="602" customFormat="false" ht="14.25" hidden="false" customHeight="false" outlineLevel="0" collapsed="false">
      <c r="A602" s="12" t="s">
        <v>1092</v>
      </c>
      <c r="B602" s="8" t="s">
        <v>1349</v>
      </c>
      <c r="C602" s="8" t="s">
        <v>2209</v>
      </c>
      <c r="D602" s="12" t="s">
        <v>171</v>
      </c>
      <c r="E602" s="8" t="s">
        <v>2221</v>
      </c>
      <c r="F602" s="8" t="s">
        <v>3140</v>
      </c>
      <c r="G602" s="8" t="s">
        <v>2223</v>
      </c>
      <c r="H602" s="12" t="s">
        <v>194</v>
      </c>
      <c r="I602" s="8" t="s">
        <v>2213</v>
      </c>
      <c r="J602" s="8" t="s">
        <v>3141</v>
      </c>
      <c r="K602" s="8" t="s">
        <v>2215</v>
      </c>
    </row>
    <row r="603" customFormat="false" ht="14.25" hidden="false" customHeight="false" outlineLevel="0" collapsed="false">
      <c r="A603" s="12" t="s">
        <v>1092</v>
      </c>
      <c r="B603" s="8" t="s">
        <v>1349</v>
      </c>
      <c r="C603" s="8" t="s">
        <v>2209</v>
      </c>
      <c r="D603" s="12" t="s">
        <v>171</v>
      </c>
      <c r="E603" s="8" t="s">
        <v>2221</v>
      </c>
      <c r="F603" s="8" t="s">
        <v>3142</v>
      </c>
      <c r="G603" s="8" t="s">
        <v>2223</v>
      </c>
      <c r="H603" s="12" t="s">
        <v>194</v>
      </c>
      <c r="I603" s="8" t="s">
        <v>2213</v>
      </c>
      <c r="J603" s="8" t="s">
        <v>3143</v>
      </c>
      <c r="K603" s="8" t="s">
        <v>2215</v>
      </c>
    </row>
    <row r="604" customFormat="false" ht="49.5" hidden="false" customHeight="true" outlineLevel="0" collapsed="false">
      <c r="A604" s="12" t="s">
        <v>1092</v>
      </c>
      <c r="B604" s="8" t="s">
        <v>1349</v>
      </c>
      <c r="C604" s="8" t="s">
        <v>2209</v>
      </c>
      <c r="D604" s="12" t="s">
        <v>172</v>
      </c>
      <c r="E604" s="8" t="s">
        <v>2210</v>
      </c>
      <c r="F604" s="8" t="s">
        <v>3144</v>
      </c>
      <c r="G604" s="8" t="s">
        <v>2627</v>
      </c>
      <c r="H604" s="12" t="s">
        <v>194</v>
      </c>
      <c r="I604" s="8" t="s">
        <v>2213</v>
      </c>
      <c r="J604" s="8" t="s">
        <v>3145</v>
      </c>
      <c r="K604" s="8" t="s">
        <v>2215</v>
      </c>
    </row>
    <row r="605" customFormat="false" ht="14.25" hidden="false" customHeight="false" outlineLevel="0" collapsed="false">
      <c r="A605" s="12" t="s">
        <v>1092</v>
      </c>
      <c r="B605" s="8" t="s">
        <v>1349</v>
      </c>
      <c r="C605" s="8" t="s">
        <v>2209</v>
      </c>
      <c r="D605" s="12" t="s">
        <v>173</v>
      </c>
      <c r="E605" s="8" t="s">
        <v>2260</v>
      </c>
      <c r="F605" s="8" t="s">
        <v>2508</v>
      </c>
      <c r="G605" s="8" t="s">
        <v>2262</v>
      </c>
      <c r="H605" s="12" t="s">
        <v>194</v>
      </c>
      <c r="I605" s="8" t="s">
        <v>2213</v>
      </c>
      <c r="J605" s="8" t="s">
        <v>3146</v>
      </c>
      <c r="K605" s="8" t="s">
        <v>2215</v>
      </c>
    </row>
    <row r="606" customFormat="false" ht="24.75" hidden="false" customHeight="true" outlineLevel="0" collapsed="false">
      <c r="A606" s="12" t="s">
        <v>1092</v>
      </c>
      <c r="B606" s="8" t="s">
        <v>1349</v>
      </c>
      <c r="C606" s="8" t="s">
        <v>2209</v>
      </c>
      <c r="D606" s="12" t="s">
        <v>175</v>
      </c>
      <c r="E606" s="8" t="s">
        <v>2237</v>
      </c>
      <c r="F606" s="8" t="s">
        <v>3147</v>
      </c>
      <c r="G606" s="8" t="s">
        <v>2239</v>
      </c>
      <c r="H606" s="12" t="s">
        <v>194</v>
      </c>
      <c r="I606" s="8" t="s">
        <v>2213</v>
      </c>
      <c r="J606" s="8" t="s">
        <v>3148</v>
      </c>
      <c r="K606" s="8" t="s">
        <v>2215</v>
      </c>
    </row>
    <row r="607" customFormat="false" ht="24.75" hidden="false" customHeight="true" outlineLevel="0" collapsed="false">
      <c r="A607" s="12" t="s">
        <v>1092</v>
      </c>
      <c r="B607" s="8" t="s">
        <v>1349</v>
      </c>
      <c r="C607" s="8" t="s">
        <v>2209</v>
      </c>
      <c r="D607" s="12" t="s">
        <v>176</v>
      </c>
      <c r="E607" s="8" t="s">
        <v>2481</v>
      </c>
      <c r="F607" s="8" t="s">
        <v>3149</v>
      </c>
      <c r="G607" s="8" t="s">
        <v>2483</v>
      </c>
      <c r="H607" s="12" t="s">
        <v>194</v>
      </c>
      <c r="I607" s="8" t="s">
        <v>2213</v>
      </c>
      <c r="J607" s="8" t="s">
        <v>3150</v>
      </c>
      <c r="K607" s="8" t="s">
        <v>2485</v>
      </c>
    </row>
    <row r="608" customFormat="false" ht="37.5" hidden="false" customHeight="true" outlineLevel="0" collapsed="false">
      <c r="A608" s="12" t="s">
        <v>1092</v>
      </c>
      <c r="B608" s="8" t="s">
        <v>1349</v>
      </c>
      <c r="C608" s="8" t="s">
        <v>2209</v>
      </c>
      <c r="D608" s="12" t="s">
        <v>1982</v>
      </c>
      <c r="E608" s="8" t="s">
        <v>2703</v>
      </c>
      <c r="F608" s="8" t="s">
        <v>2704</v>
      </c>
      <c r="G608" s="8" t="s">
        <v>2705</v>
      </c>
      <c r="H608" s="12" t="s">
        <v>195</v>
      </c>
      <c r="I608" s="8" t="s">
        <v>2706</v>
      </c>
      <c r="J608" s="8" t="s">
        <v>3151</v>
      </c>
      <c r="K608" s="8" t="s">
        <v>2215</v>
      </c>
    </row>
    <row r="609" customFormat="false" ht="24.75" hidden="false" customHeight="true" outlineLevel="0" collapsed="false">
      <c r="A609" s="12" t="s">
        <v>1092</v>
      </c>
      <c r="B609" s="8" t="s">
        <v>1349</v>
      </c>
      <c r="C609" s="8" t="s">
        <v>2209</v>
      </c>
      <c r="D609" s="12" t="s">
        <v>1982</v>
      </c>
      <c r="E609" s="8" t="s">
        <v>2703</v>
      </c>
      <c r="F609" s="8" t="s">
        <v>2704</v>
      </c>
      <c r="G609" s="8" t="s">
        <v>2705</v>
      </c>
      <c r="H609" s="12" t="s">
        <v>195</v>
      </c>
      <c r="I609" s="8" t="s">
        <v>2706</v>
      </c>
      <c r="J609" s="8" t="s">
        <v>3152</v>
      </c>
      <c r="K609" s="8" t="s">
        <v>2215</v>
      </c>
    </row>
    <row r="610" customFormat="false" ht="24.75" hidden="false" customHeight="true" outlineLevel="0" collapsed="false">
      <c r="A610" s="12" t="s">
        <v>1092</v>
      </c>
      <c r="B610" s="8" t="s">
        <v>1349</v>
      </c>
      <c r="C610" s="8" t="s">
        <v>2209</v>
      </c>
      <c r="D610" s="12" t="s">
        <v>1984</v>
      </c>
      <c r="E610" s="8" t="s">
        <v>2997</v>
      </c>
      <c r="F610" s="8" t="s">
        <v>3153</v>
      </c>
      <c r="G610" s="8" t="s">
        <v>2483</v>
      </c>
      <c r="H610" s="12" t="s">
        <v>194</v>
      </c>
      <c r="I610" s="8" t="s">
        <v>2706</v>
      </c>
      <c r="J610" s="8" t="s">
        <v>3154</v>
      </c>
      <c r="K610" s="8" t="s">
        <v>2215</v>
      </c>
    </row>
    <row r="611" customFormat="false" ht="37.5" hidden="false" customHeight="true" outlineLevel="0" collapsed="false">
      <c r="A611" s="12" t="s">
        <v>1353</v>
      </c>
      <c r="B611" s="8" t="s">
        <v>1354</v>
      </c>
      <c r="C611" s="8" t="s">
        <v>2209</v>
      </c>
      <c r="D611" s="12" t="s">
        <v>171</v>
      </c>
      <c r="E611" s="8" t="s">
        <v>2221</v>
      </c>
      <c r="F611" s="8" t="s">
        <v>2975</v>
      </c>
      <c r="G611" s="8" t="s">
        <v>2223</v>
      </c>
      <c r="H611" s="12" t="s">
        <v>194</v>
      </c>
      <c r="I611" s="8" t="s">
        <v>2213</v>
      </c>
      <c r="J611" s="8" t="s">
        <v>2976</v>
      </c>
      <c r="K611" s="8" t="s">
        <v>2215</v>
      </c>
    </row>
    <row r="612" customFormat="false" ht="24.75" hidden="false" customHeight="true" outlineLevel="0" collapsed="false">
      <c r="A612" s="12" t="s">
        <v>1353</v>
      </c>
      <c r="B612" s="8" t="s">
        <v>1354</v>
      </c>
      <c r="C612" s="8" t="s">
        <v>2209</v>
      </c>
      <c r="D612" s="12" t="s">
        <v>172</v>
      </c>
      <c r="E612" s="8" t="s">
        <v>2210</v>
      </c>
      <c r="F612" s="8" t="s">
        <v>3010</v>
      </c>
      <c r="G612" s="8" t="s">
        <v>2212</v>
      </c>
      <c r="H612" s="12" t="s">
        <v>194</v>
      </c>
      <c r="I612" s="8" t="s">
        <v>2213</v>
      </c>
      <c r="J612" s="8" t="s">
        <v>3155</v>
      </c>
      <c r="K612" s="8" t="s">
        <v>2215</v>
      </c>
    </row>
    <row r="613" customFormat="false" ht="14.25" hidden="false" customHeight="false" outlineLevel="0" collapsed="false">
      <c r="A613" s="12" t="s">
        <v>1357</v>
      </c>
      <c r="B613" s="8" t="s">
        <v>1359</v>
      </c>
      <c r="C613" s="8" t="s">
        <v>2209</v>
      </c>
      <c r="D613" s="12" t="s">
        <v>171</v>
      </c>
      <c r="E613" s="8" t="s">
        <v>2221</v>
      </c>
      <c r="F613" s="8" t="s">
        <v>3156</v>
      </c>
      <c r="G613" s="8" t="s">
        <v>2223</v>
      </c>
      <c r="H613" s="12" t="s">
        <v>194</v>
      </c>
      <c r="I613" s="8" t="s">
        <v>2213</v>
      </c>
      <c r="J613" s="8" t="s">
        <v>3157</v>
      </c>
      <c r="K613" s="8" t="s">
        <v>2215</v>
      </c>
    </row>
    <row r="614" customFormat="false" ht="24.75" hidden="false" customHeight="true" outlineLevel="0" collapsed="false">
      <c r="A614" s="12" t="s">
        <v>1357</v>
      </c>
      <c r="B614" s="8" t="s">
        <v>1359</v>
      </c>
      <c r="C614" s="8" t="s">
        <v>2209</v>
      </c>
      <c r="D614" s="12" t="s">
        <v>171</v>
      </c>
      <c r="E614" s="8" t="s">
        <v>2221</v>
      </c>
      <c r="F614" s="8" t="s">
        <v>3158</v>
      </c>
      <c r="G614" s="8" t="s">
        <v>2223</v>
      </c>
      <c r="H614" s="12" t="s">
        <v>194</v>
      </c>
      <c r="I614" s="8" t="s">
        <v>2213</v>
      </c>
      <c r="J614" s="8" t="s">
        <v>3159</v>
      </c>
      <c r="K614" s="8" t="s">
        <v>2215</v>
      </c>
    </row>
    <row r="615" customFormat="false" ht="14.25" hidden="false" customHeight="false" outlineLevel="0" collapsed="false">
      <c r="A615" s="12" t="s">
        <v>1357</v>
      </c>
      <c r="B615" s="8" t="s">
        <v>1359</v>
      </c>
      <c r="C615" s="8" t="s">
        <v>2209</v>
      </c>
      <c r="D615" s="12" t="s">
        <v>171</v>
      </c>
      <c r="E615" s="8" t="s">
        <v>2221</v>
      </c>
      <c r="F615" s="8" t="s">
        <v>3160</v>
      </c>
      <c r="G615" s="8" t="s">
        <v>2397</v>
      </c>
      <c r="H615" s="12" t="s">
        <v>232</v>
      </c>
      <c r="I615" s="8" t="s">
        <v>2213</v>
      </c>
      <c r="J615" s="8" t="s">
        <v>3161</v>
      </c>
      <c r="K615" s="8" t="s">
        <v>2215</v>
      </c>
    </row>
    <row r="616" customFormat="false" ht="24.75" hidden="false" customHeight="true" outlineLevel="0" collapsed="false">
      <c r="A616" s="12" t="s">
        <v>1357</v>
      </c>
      <c r="B616" s="8" t="s">
        <v>1359</v>
      </c>
      <c r="C616" s="8" t="s">
        <v>2209</v>
      </c>
      <c r="D616" s="12" t="s">
        <v>171</v>
      </c>
      <c r="E616" s="8" t="s">
        <v>2221</v>
      </c>
      <c r="F616" s="8" t="s">
        <v>3162</v>
      </c>
      <c r="G616" s="8" t="s">
        <v>2223</v>
      </c>
      <c r="H616" s="12" t="s">
        <v>194</v>
      </c>
      <c r="I616" s="8" t="s">
        <v>2213</v>
      </c>
      <c r="J616" s="8" t="s">
        <v>3163</v>
      </c>
      <c r="K616" s="8" t="s">
        <v>2215</v>
      </c>
    </row>
    <row r="617" customFormat="false" ht="24.75" hidden="false" customHeight="true" outlineLevel="0" collapsed="false">
      <c r="A617" s="12" t="s">
        <v>1357</v>
      </c>
      <c r="B617" s="8" t="s">
        <v>1359</v>
      </c>
      <c r="C617" s="8" t="s">
        <v>2209</v>
      </c>
      <c r="D617" s="12" t="s">
        <v>172</v>
      </c>
      <c r="E617" s="8" t="s">
        <v>2210</v>
      </c>
      <c r="F617" s="8" t="s">
        <v>3164</v>
      </c>
      <c r="G617" s="8" t="s">
        <v>2212</v>
      </c>
      <c r="H617" s="12" t="s">
        <v>194</v>
      </c>
      <c r="I617" s="8" t="s">
        <v>2213</v>
      </c>
      <c r="J617" s="8" t="s">
        <v>3165</v>
      </c>
      <c r="K617" s="8" t="s">
        <v>2215</v>
      </c>
    </row>
    <row r="618" customFormat="false" ht="14.25" hidden="false" customHeight="false" outlineLevel="0" collapsed="false">
      <c r="A618" s="12" t="s">
        <v>1357</v>
      </c>
      <c r="B618" s="8" t="s">
        <v>1359</v>
      </c>
      <c r="C618" s="8" t="s">
        <v>2209</v>
      </c>
      <c r="D618" s="12" t="s">
        <v>173</v>
      </c>
      <c r="E618" s="8" t="s">
        <v>2260</v>
      </c>
      <c r="F618" s="8" t="s">
        <v>2832</v>
      </c>
      <c r="G618" s="8" t="s">
        <v>2262</v>
      </c>
      <c r="H618" s="12" t="s">
        <v>194</v>
      </c>
      <c r="I618" s="8" t="s">
        <v>2213</v>
      </c>
      <c r="J618" s="8" t="s">
        <v>3166</v>
      </c>
      <c r="K618" s="8" t="s">
        <v>2215</v>
      </c>
    </row>
    <row r="619" customFormat="false" ht="24.75" hidden="false" customHeight="true" outlineLevel="0" collapsed="false">
      <c r="A619" s="12" t="s">
        <v>1357</v>
      </c>
      <c r="B619" s="8" t="s">
        <v>1359</v>
      </c>
      <c r="C619" s="8" t="s">
        <v>2209</v>
      </c>
      <c r="D619" s="12" t="s">
        <v>175</v>
      </c>
      <c r="E619" s="8" t="s">
        <v>2237</v>
      </c>
      <c r="F619" s="8" t="s">
        <v>3147</v>
      </c>
      <c r="G619" s="8" t="s">
        <v>2239</v>
      </c>
      <c r="H619" s="12" t="s">
        <v>194</v>
      </c>
      <c r="I619" s="8" t="s">
        <v>2213</v>
      </c>
      <c r="J619" s="8" t="s">
        <v>3167</v>
      </c>
      <c r="K619" s="8" t="s">
        <v>2215</v>
      </c>
    </row>
    <row r="620" customFormat="false" ht="24.75" hidden="false" customHeight="true" outlineLevel="0" collapsed="false">
      <c r="A620" s="12" t="s">
        <v>1357</v>
      </c>
      <c r="B620" s="8" t="s">
        <v>1359</v>
      </c>
      <c r="C620" s="8" t="s">
        <v>2209</v>
      </c>
      <c r="D620" s="12" t="s">
        <v>176</v>
      </c>
      <c r="E620" s="8" t="s">
        <v>2481</v>
      </c>
      <c r="F620" s="8" t="s">
        <v>3168</v>
      </c>
      <c r="G620" s="8" t="s">
        <v>2483</v>
      </c>
      <c r="H620" s="12" t="s">
        <v>194</v>
      </c>
      <c r="I620" s="8" t="s">
        <v>2213</v>
      </c>
      <c r="J620" s="8" t="s">
        <v>3169</v>
      </c>
      <c r="K620" s="8" t="s">
        <v>2485</v>
      </c>
    </row>
    <row r="621" customFormat="false" ht="24.75" hidden="false" customHeight="true" outlineLevel="0" collapsed="false">
      <c r="A621" s="12" t="s">
        <v>1357</v>
      </c>
      <c r="B621" s="8" t="s">
        <v>1359</v>
      </c>
      <c r="C621" s="8" t="s">
        <v>2209</v>
      </c>
      <c r="D621" s="12" t="s">
        <v>1982</v>
      </c>
      <c r="E621" s="8" t="s">
        <v>2703</v>
      </c>
      <c r="F621" s="8" t="s">
        <v>2704</v>
      </c>
      <c r="G621" s="8" t="s">
        <v>2705</v>
      </c>
      <c r="H621" s="12" t="s">
        <v>195</v>
      </c>
      <c r="I621" s="8" t="s">
        <v>2706</v>
      </c>
      <c r="J621" s="8" t="s">
        <v>3170</v>
      </c>
      <c r="K621" s="8" t="s">
        <v>2215</v>
      </c>
    </row>
    <row r="622" customFormat="false" ht="24.75" hidden="false" customHeight="true" outlineLevel="0" collapsed="false">
      <c r="A622" s="12" t="s">
        <v>1357</v>
      </c>
      <c r="B622" s="8" t="s">
        <v>1359</v>
      </c>
      <c r="C622" s="8" t="s">
        <v>2209</v>
      </c>
      <c r="D622" s="12" t="s">
        <v>1983</v>
      </c>
      <c r="E622" s="8" t="s">
        <v>3100</v>
      </c>
      <c r="F622" s="8" t="s">
        <v>3171</v>
      </c>
      <c r="G622" s="8" t="s">
        <v>3172</v>
      </c>
      <c r="H622" s="12" t="s">
        <v>810</v>
      </c>
      <c r="I622" s="8" t="s">
        <v>2706</v>
      </c>
      <c r="J622" s="8" t="s">
        <v>3173</v>
      </c>
      <c r="K622" s="8" t="s">
        <v>2215</v>
      </c>
    </row>
    <row r="623" customFormat="false" ht="24.75" hidden="false" customHeight="true" outlineLevel="0" collapsed="false">
      <c r="A623" s="12" t="s">
        <v>1364</v>
      </c>
      <c r="B623" s="8" t="s">
        <v>1365</v>
      </c>
      <c r="C623" s="8" t="s">
        <v>2209</v>
      </c>
      <c r="D623" s="12" t="s">
        <v>171</v>
      </c>
      <c r="E623" s="8" t="s">
        <v>2221</v>
      </c>
      <c r="F623" s="8" t="s">
        <v>3174</v>
      </c>
      <c r="G623" s="8" t="s">
        <v>2223</v>
      </c>
      <c r="H623" s="12" t="s">
        <v>194</v>
      </c>
      <c r="I623" s="8" t="s">
        <v>2213</v>
      </c>
      <c r="J623" s="8" t="s">
        <v>3175</v>
      </c>
      <c r="K623" s="8" t="s">
        <v>2215</v>
      </c>
    </row>
    <row r="624" customFormat="false" ht="24.75" hidden="false" customHeight="true" outlineLevel="0" collapsed="false">
      <c r="A624" s="12" t="s">
        <v>1364</v>
      </c>
      <c r="B624" s="8" t="s">
        <v>1365</v>
      </c>
      <c r="C624" s="8" t="s">
        <v>2209</v>
      </c>
      <c r="D624" s="12" t="s">
        <v>171</v>
      </c>
      <c r="E624" s="8" t="s">
        <v>2221</v>
      </c>
      <c r="F624" s="8" t="s">
        <v>3176</v>
      </c>
      <c r="G624" s="8" t="s">
        <v>2223</v>
      </c>
      <c r="H624" s="12" t="s">
        <v>194</v>
      </c>
      <c r="I624" s="8" t="s">
        <v>2213</v>
      </c>
      <c r="J624" s="8" t="s">
        <v>3177</v>
      </c>
      <c r="K624" s="8" t="s">
        <v>2215</v>
      </c>
    </row>
    <row r="625" customFormat="false" ht="24.75" hidden="false" customHeight="true" outlineLevel="0" collapsed="false">
      <c r="A625" s="12" t="s">
        <v>1364</v>
      </c>
      <c r="B625" s="8" t="s">
        <v>1365</v>
      </c>
      <c r="C625" s="8" t="s">
        <v>2209</v>
      </c>
      <c r="D625" s="12" t="s">
        <v>171</v>
      </c>
      <c r="E625" s="8" t="s">
        <v>2221</v>
      </c>
      <c r="F625" s="8" t="s">
        <v>3042</v>
      </c>
      <c r="G625" s="8" t="s">
        <v>2223</v>
      </c>
      <c r="H625" s="12" t="s">
        <v>194</v>
      </c>
      <c r="I625" s="8" t="s">
        <v>2213</v>
      </c>
      <c r="J625" s="8" t="s">
        <v>3043</v>
      </c>
      <c r="K625" s="8" t="s">
        <v>2215</v>
      </c>
    </row>
    <row r="626" customFormat="false" ht="37.5" hidden="false" customHeight="true" outlineLevel="0" collapsed="false">
      <c r="A626" s="12" t="s">
        <v>1370</v>
      </c>
      <c r="B626" s="8" t="s">
        <v>1372</v>
      </c>
      <c r="C626" s="8" t="s">
        <v>2209</v>
      </c>
      <c r="D626" s="12" t="s">
        <v>171</v>
      </c>
      <c r="E626" s="8" t="s">
        <v>2221</v>
      </c>
      <c r="F626" s="8" t="s">
        <v>3178</v>
      </c>
      <c r="G626" s="8" t="s">
        <v>2223</v>
      </c>
      <c r="H626" s="12" t="s">
        <v>194</v>
      </c>
      <c r="I626" s="8" t="s">
        <v>2213</v>
      </c>
      <c r="J626" s="8" t="s">
        <v>3179</v>
      </c>
      <c r="K626" s="8" t="s">
        <v>2215</v>
      </c>
    </row>
    <row r="627" customFormat="false" ht="37.5" hidden="false" customHeight="true" outlineLevel="0" collapsed="false">
      <c r="A627" s="12" t="s">
        <v>1370</v>
      </c>
      <c r="B627" s="8" t="s">
        <v>1372</v>
      </c>
      <c r="C627" s="8" t="s">
        <v>2209</v>
      </c>
      <c r="D627" s="12" t="s">
        <v>171</v>
      </c>
      <c r="E627" s="8" t="s">
        <v>2221</v>
      </c>
      <c r="F627" s="8" t="s">
        <v>3180</v>
      </c>
      <c r="G627" s="8" t="s">
        <v>2223</v>
      </c>
      <c r="H627" s="12" t="s">
        <v>194</v>
      </c>
      <c r="I627" s="8" t="s">
        <v>2213</v>
      </c>
      <c r="J627" s="8" t="s">
        <v>3181</v>
      </c>
      <c r="K627" s="8" t="s">
        <v>2215</v>
      </c>
    </row>
    <row r="628" customFormat="false" ht="24.75" hidden="false" customHeight="true" outlineLevel="0" collapsed="false">
      <c r="A628" s="12" t="s">
        <v>1370</v>
      </c>
      <c r="B628" s="8" t="s">
        <v>1372</v>
      </c>
      <c r="C628" s="8" t="s">
        <v>2209</v>
      </c>
      <c r="D628" s="12" t="s">
        <v>172</v>
      </c>
      <c r="E628" s="8" t="s">
        <v>2210</v>
      </c>
      <c r="F628" s="8" t="s">
        <v>3182</v>
      </c>
      <c r="G628" s="8" t="s">
        <v>2212</v>
      </c>
      <c r="H628" s="12" t="s">
        <v>194</v>
      </c>
      <c r="I628" s="8" t="s">
        <v>2213</v>
      </c>
      <c r="J628" s="8" t="s">
        <v>3183</v>
      </c>
      <c r="K628" s="8" t="s">
        <v>2215</v>
      </c>
    </row>
    <row r="629" customFormat="false" ht="24.75" hidden="false" customHeight="true" outlineLevel="0" collapsed="false">
      <c r="A629" s="12" t="s">
        <v>1370</v>
      </c>
      <c r="B629" s="8" t="s">
        <v>1372</v>
      </c>
      <c r="C629" s="8" t="s">
        <v>2209</v>
      </c>
      <c r="D629" s="12" t="s">
        <v>173</v>
      </c>
      <c r="E629" s="8" t="s">
        <v>2260</v>
      </c>
      <c r="F629" s="8" t="s">
        <v>3184</v>
      </c>
      <c r="G629" s="8" t="s">
        <v>2262</v>
      </c>
      <c r="H629" s="12" t="s">
        <v>194</v>
      </c>
      <c r="I629" s="8" t="s">
        <v>2213</v>
      </c>
      <c r="J629" s="8" t="s">
        <v>3185</v>
      </c>
      <c r="K629" s="8" t="s">
        <v>2215</v>
      </c>
    </row>
    <row r="630" customFormat="false" ht="24.75" hidden="false" customHeight="true" outlineLevel="0" collapsed="false">
      <c r="A630" s="12" t="s">
        <v>1370</v>
      </c>
      <c r="B630" s="8" t="s">
        <v>1372</v>
      </c>
      <c r="C630" s="8" t="s">
        <v>2209</v>
      </c>
      <c r="D630" s="12" t="s">
        <v>176</v>
      </c>
      <c r="E630" s="8" t="s">
        <v>2481</v>
      </c>
      <c r="F630" s="8" t="s">
        <v>3186</v>
      </c>
      <c r="G630" s="8" t="s">
        <v>2483</v>
      </c>
      <c r="H630" s="12" t="s">
        <v>194</v>
      </c>
      <c r="I630" s="8" t="s">
        <v>2213</v>
      </c>
      <c r="J630" s="8" t="s">
        <v>3187</v>
      </c>
      <c r="K630" s="8" t="s">
        <v>2485</v>
      </c>
    </row>
    <row r="631" customFormat="false" ht="24.75" hidden="false" customHeight="true" outlineLevel="0" collapsed="false">
      <c r="A631" s="12" t="s">
        <v>1370</v>
      </c>
      <c r="B631" s="8" t="s">
        <v>1372</v>
      </c>
      <c r="C631" s="8" t="s">
        <v>2209</v>
      </c>
      <c r="D631" s="12" t="s">
        <v>176</v>
      </c>
      <c r="E631" s="8" t="s">
        <v>2481</v>
      </c>
      <c r="F631" s="8" t="s">
        <v>3188</v>
      </c>
      <c r="G631" s="8" t="s">
        <v>2483</v>
      </c>
      <c r="H631" s="12" t="s">
        <v>194</v>
      </c>
      <c r="I631" s="8" t="s">
        <v>2213</v>
      </c>
      <c r="J631" s="8" t="s">
        <v>3189</v>
      </c>
      <c r="K631" s="8" t="s">
        <v>2485</v>
      </c>
    </row>
    <row r="632" customFormat="false" ht="37.5" hidden="false" customHeight="true" outlineLevel="0" collapsed="false">
      <c r="A632" s="12" t="s">
        <v>1370</v>
      </c>
      <c r="B632" s="8" t="s">
        <v>1372</v>
      </c>
      <c r="C632" s="8" t="s">
        <v>2209</v>
      </c>
      <c r="D632" s="12" t="s">
        <v>1982</v>
      </c>
      <c r="E632" s="8" t="s">
        <v>2703</v>
      </c>
      <c r="F632" s="8" t="s">
        <v>2704</v>
      </c>
      <c r="G632" s="8" t="s">
        <v>2705</v>
      </c>
      <c r="H632" s="12" t="s">
        <v>195</v>
      </c>
      <c r="I632" s="8" t="s">
        <v>2706</v>
      </c>
      <c r="J632" s="8" t="s">
        <v>3190</v>
      </c>
      <c r="K632" s="8" t="s">
        <v>2215</v>
      </c>
    </row>
    <row r="633" customFormat="false" ht="24.75" hidden="false" customHeight="true" outlineLevel="0" collapsed="false">
      <c r="A633" s="12" t="s">
        <v>1377</v>
      </c>
      <c r="B633" s="8" t="s">
        <v>1378</v>
      </c>
      <c r="C633" s="8" t="s">
        <v>2209</v>
      </c>
      <c r="D633" s="12" t="s">
        <v>172</v>
      </c>
      <c r="E633" s="8" t="s">
        <v>2210</v>
      </c>
      <c r="F633" s="8" t="s">
        <v>3182</v>
      </c>
      <c r="G633" s="8" t="s">
        <v>2212</v>
      </c>
      <c r="H633" s="12" t="s">
        <v>194</v>
      </c>
      <c r="I633" s="8" t="s">
        <v>2213</v>
      </c>
      <c r="J633" s="8" t="s">
        <v>3191</v>
      </c>
      <c r="K633" s="8" t="s">
        <v>2215</v>
      </c>
    </row>
    <row r="634" customFormat="false" ht="24.75" hidden="false" customHeight="true" outlineLevel="0" collapsed="false">
      <c r="A634" s="12" t="s">
        <v>1377</v>
      </c>
      <c r="B634" s="8" t="s">
        <v>1378</v>
      </c>
      <c r="C634" s="8" t="s">
        <v>2209</v>
      </c>
      <c r="D634" s="12" t="s">
        <v>175</v>
      </c>
      <c r="E634" s="8" t="s">
        <v>2237</v>
      </c>
      <c r="F634" s="8" t="s">
        <v>3192</v>
      </c>
      <c r="G634" s="8" t="s">
        <v>2239</v>
      </c>
      <c r="H634" s="12" t="s">
        <v>194</v>
      </c>
      <c r="I634" s="8" t="s">
        <v>2213</v>
      </c>
      <c r="J634" s="8" t="s">
        <v>3193</v>
      </c>
      <c r="K634" s="8" t="s">
        <v>2215</v>
      </c>
    </row>
    <row r="635" customFormat="false" ht="24.75" hidden="false" customHeight="true" outlineLevel="0" collapsed="false">
      <c r="A635" s="12" t="s">
        <v>1377</v>
      </c>
      <c r="B635" s="8" t="s">
        <v>1378</v>
      </c>
      <c r="C635" s="8" t="s">
        <v>2209</v>
      </c>
      <c r="D635" s="12" t="s">
        <v>176</v>
      </c>
      <c r="E635" s="8" t="s">
        <v>2481</v>
      </c>
      <c r="F635" s="8" t="s">
        <v>3194</v>
      </c>
      <c r="G635" s="8" t="s">
        <v>2483</v>
      </c>
      <c r="H635" s="12" t="s">
        <v>194</v>
      </c>
      <c r="I635" s="8" t="s">
        <v>2213</v>
      </c>
      <c r="J635" s="8" t="s">
        <v>3195</v>
      </c>
      <c r="K635" s="8" t="s">
        <v>2485</v>
      </c>
    </row>
    <row r="636" customFormat="false" ht="24.75" hidden="false" customHeight="true" outlineLevel="0" collapsed="false">
      <c r="A636" s="12" t="s">
        <v>1377</v>
      </c>
      <c r="B636" s="8" t="s">
        <v>1378</v>
      </c>
      <c r="C636" s="8" t="s">
        <v>2209</v>
      </c>
      <c r="D636" s="12" t="s">
        <v>176</v>
      </c>
      <c r="E636" s="8" t="s">
        <v>2481</v>
      </c>
      <c r="F636" s="8" t="s">
        <v>3196</v>
      </c>
      <c r="G636" s="8" t="s">
        <v>2483</v>
      </c>
      <c r="H636" s="12" t="s">
        <v>194</v>
      </c>
      <c r="I636" s="8" t="s">
        <v>2213</v>
      </c>
      <c r="J636" s="8" t="s">
        <v>3197</v>
      </c>
      <c r="K636" s="8" t="s">
        <v>2485</v>
      </c>
    </row>
    <row r="637" customFormat="false" ht="24.75" hidden="false" customHeight="true" outlineLevel="0" collapsed="false">
      <c r="A637" s="12" t="s">
        <v>1382</v>
      </c>
      <c r="B637" s="8" t="s">
        <v>1383</v>
      </c>
      <c r="C637" s="8" t="s">
        <v>2209</v>
      </c>
      <c r="D637" s="12" t="s">
        <v>172</v>
      </c>
      <c r="E637" s="8" t="s">
        <v>2210</v>
      </c>
      <c r="F637" s="8" t="s">
        <v>3198</v>
      </c>
      <c r="G637" s="8" t="s">
        <v>2212</v>
      </c>
      <c r="H637" s="12" t="s">
        <v>194</v>
      </c>
      <c r="I637" s="8" t="s">
        <v>2213</v>
      </c>
      <c r="J637" s="8" t="s">
        <v>3199</v>
      </c>
      <c r="K637" s="8" t="s">
        <v>2215</v>
      </c>
    </row>
    <row r="638" customFormat="false" ht="24.75" hidden="false" customHeight="true" outlineLevel="0" collapsed="false">
      <c r="A638" s="12" t="s">
        <v>1382</v>
      </c>
      <c r="B638" s="8" t="s">
        <v>1383</v>
      </c>
      <c r="C638" s="8" t="s">
        <v>2209</v>
      </c>
      <c r="D638" s="12" t="s">
        <v>172</v>
      </c>
      <c r="E638" s="8" t="s">
        <v>2210</v>
      </c>
      <c r="F638" s="8" t="s">
        <v>3198</v>
      </c>
      <c r="G638" s="8" t="s">
        <v>2212</v>
      </c>
      <c r="H638" s="12" t="s">
        <v>194</v>
      </c>
      <c r="I638" s="8" t="s">
        <v>2213</v>
      </c>
      <c r="J638" s="8" t="s">
        <v>3200</v>
      </c>
      <c r="K638" s="8" t="s">
        <v>2215</v>
      </c>
    </row>
    <row r="639" customFormat="false" ht="24.75" hidden="false" customHeight="true" outlineLevel="0" collapsed="false">
      <c r="A639" s="12" t="s">
        <v>1382</v>
      </c>
      <c r="B639" s="8" t="s">
        <v>1383</v>
      </c>
      <c r="C639" s="8" t="s">
        <v>2209</v>
      </c>
      <c r="D639" s="12" t="s">
        <v>175</v>
      </c>
      <c r="E639" s="8" t="s">
        <v>2237</v>
      </c>
      <c r="F639" s="8" t="s">
        <v>3147</v>
      </c>
      <c r="G639" s="8" t="s">
        <v>2239</v>
      </c>
      <c r="H639" s="12" t="s">
        <v>194</v>
      </c>
      <c r="I639" s="8" t="s">
        <v>2213</v>
      </c>
      <c r="J639" s="8" t="s">
        <v>3201</v>
      </c>
      <c r="K639" s="8" t="s">
        <v>2215</v>
      </c>
    </row>
    <row r="640" customFormat="false" ht="24.75" hidden="false" customHeight="true" outlineLevel="0" collapsed="false">
      <c r="A640" s="12" t="s">
        <v>1386</v>
      </c>
      <c r="B640" s="8" t="s">
        <v>1389</v>
      </c>
      <c r="C640" s="8" t="s">
        <v>2209</v>
      </c>
      <c r="D640" s="12" t="s">
        <v>172</v>
      </c>
      <c r="E640" s="8" t="s">
        <v>2210</v>
      </c>
      <c r="F640" s="8" t="s">
        <v>2865</v>
      </c>
      <c r="G640" s="8" t="s">
        <v>2212</v>
      </c>
      <c r="H640" s="12" t="s">
        <v>194</v>
      </c>
      <c r="I640" s="8" t="s">
        <v>2213</v>
      </c>
      <c r="J640" s="8" t="s">
        <v>3202</v>
      </c>
      <c r="K640" s="8" t="s">
        <v>2215</v>
      </c>
    </row>
    <row r="641" customFormat="false" ht="24.75" hidden="false" customHeight="true" outlineLevel="0" collapsed="false">
      <c r="A641" s="12" t="s">
        <v>1386</v>
      </c>
      <c r="B641" s="8" t="s">
        <v>1389</v>
      </c>
      <c r="C641" s="8" t="s">
        <v>2209</v>
      </c>
      <c r="D641" s="12" t="s">
        <v>173</v>
      </c>
      <c r="E641" s="8" t="s">
        <v>2260</v>
      </c>
      <c r="F641" s="8" t="s">
        <v>2508</v>
      </c>
      <c r="G641" s="8" t="s">
        <v>2262</v>
      </c>
      <c r="H641" s="12" t="s">
        <v>194</v>
      </c>
      <c r="I641" s="8" t="s">
        <v>2213</v>
      </c>
      <c r="J641" s="8" t="s">
        <v>3203</v>
      </c>
      <c r="K641" s="8" t="s">
        <v>2215</v>
      </c>
    </row>
    <row r="642" customFormat="false" ht="49.5" hidden="false" customHeight="true" outlineLevel="0" collapsed="false">
      <c r="A642" s="12" t="s">
        <v>1386</v>
      </c>
      <c r="B642" s="8" t="s">
        <v>1389</v>
      </c>
      <c r="C642" s="8" t="s">
        <v>2209</v>
      </c>
      <c r="D642" s="12" t="s">
        <v>174</v>
      </c>
      <c r="E642" s="8" t="s">
        <v>2216</v>
      </c>
      <c r="F642" s="8" t="s">
        <v>2834</v>
      </c>
      <c r="G642" s="8" t="s">
        <v>2218</v>
      </c>
      <c r="H642" s="12" t="s">
        <v>195</v>
      </c>
      <c r="I642" s="8" t="s">
        <v>2213</v>
      </c>
      <c r="J642" s="8" t="s">
        <v>3204</v>
      </c>
      <c r="K642" s="8" t="s">
        <v>2215</v>
      </c>
    </row>
    <row r="643" customFormat="false" ht="24.75" hidden="false" customHeight="true" outlineLevel="0" collapsed="false">
      <c r="A643" s="12" t="s">
        <v>1386</v>
      </c>
      <c r="B643" s="8" t="s">
        <v>1389</v>
      </c>
      <c r="C643" s="8" t="s">
        <v>2209</v>
      </c>
      <c r="D643" s="12" t="s">
        <v>175</v>
      </c>
      <c r="E643" s="8" t="s">
        <v>2237</v>
      </c>
      <c r="F643" s="8" t="s">
        <v>3192</v>
      </c>
      <c r="G643" s="8" t="s">
        <v>2239</v>
      </c>
      <c r="H643" s="12" t="s">
        <v>194</v>
      </c>
      <c r="I643" s="8" t="s">
        <v>2213</v>
      </c>
      <c r="J643" s="8" t="s">
        <v>3205</v>
      </c>
      <c r="K643" s="8" t="s">
        <v>2215</v>
      </c>
    </row>
    <row r="644" customFormat="false" ht="24.75" hidden="false" customHeight="true" outlineLevel="0" collapsed="false">
      <c r="A644" s="12" t="s">
        <v>1386</v>
      </c>
      <c r="B644" s="8" t="s">
        <v>1389</v>
      </c>
      <c r="C644" s="8" t="s">
        <v>2209</v>
      </c>
      <c r="D644" s="12" t="s">
        <v>176</v>
      </c>
      <c r="E644" s="8" t="s">
        <v>2481</v>
      </c>
      <c r="F644" s="8" t="s">
        <v>3206</v>
      </c>
      <c r="G644" s="8" t="s">
        <v>2483</v>
      </c>
      <c r="H644" s="12" t="s">
        <v>194</v>
      </c>
      <c r="I644" s="8" t="s">
        <v>2213</v>
      </c>
      <c r="J644" s="8" t="s">
        <v>3207</v>
      </c>
      <c r="K644" s="8" t="s">
        <v>2485</v>
      </c>
    </row>
    <row r="645" customFormat="false" ht="24.75" hidden="false" customHeight="true" outlineLevel="0" collapsed="false">
      <c r="A645" s="12" t="s">
        <v>1386</v>
      </c>
      <c r="B645" s="8" t="s">
        <v>1389</v>
      </c>
      <c r="C645" s="8" t="s">
        <v>2209</v>
      </c>
      <c r="D645" s="12" t="s">
        <v>176</v>
      </c>
      <c r="E645" s="8" t="s">
        <v>2481</v>
      </c>
      <c r="F645" s="8" t="s">
        <v>3208</v>
      </c>
      <c r="G645" s="8" t="s">
        <v>2483</v>
      </c>
      <c r="H645" s="12" t="s">
        <v>194</v>
      </c>
      <c r="I645" s="8" t="s">
        <v>2213</v>
      </c>
      <c r="J645" s="8" t="s">
        <v>3209</v>
      </c>
      <c r="K645" s="8" t="s">
        <v>2485</v>
      </c>
    </row>
    <row r="646" customFormat="false" ht="24.75" hidden="false" customHeight="true" outlineLevel="0" collapsed="false">
      <c r="A646" s="12" t="s">
        <v>1393</v>
      </c>
      <c r="B646" s="8" t="s">
        <v>1395</v>
      </c>
      <c r="C646" s="8" t="s">
        <v>2209</v>
      </c>
      <c r="D646" s="12" t="s">
        <v>172</v>
      </c>
      <c r="E646" s="8" t="s">
        <v>2210</v>
      </c>
      <c r="F646" s="8" t="s">
        <v>3210</v>
      </c>
      <c r="G646" s="8" t="s">
        <v>2212</v>
      </c>
      <c r="H646" s="12" t="s">
        <v>194</v>
      </c>
      <c r="I646" s="8" t="s">
        <v>2213</v>
      </c>
      <c r="J646" s="8" t="s">
        <v>3211</v>
      </c>
      <c r="K646" s="8" t="s">
        <v>2215</v>
      </c>
    </row>
    <row r="647" customFormat="false" ht="24.75" hidden="false" customHeight="true" outlineLevel="0" collapsed="false">
      <c r="A647" s="12" t="s">
        <v>1393</v>
      </c>
      <c r="B647" s="8" t="s">
        <v>1395</v>
      </c>
      <c r="C647" s="8" t="s">
        <v>2209</v>
      </c>
      <c r="D647" s="12" t="s">
        <v>173</v>
      </c>
      <c r="E647" s="8" t="s">
        <v>2260</v>
      </c>
      <c r="F647" s="8" t="s">
        <v>3184</v>
      </c>
      <c r="G647" s="8" t="s">
        <v>2262</v>
      </c>
      <c r="H647" s="12" t="s">
        <v>194</v>
      </c>
      <c r="I647" s="8" t="s">
        <v>2213</v>
      </c>
      <c r="J647" s="8" t="s">
        <v>3212</v>
      </c>
      <c r="K647" s="8" t="s">
        <v>2215</v>
      </c>
    </row>
    <row r="648" customFormat="false" ht="24.75" hidden="false" customHeight="true" outlineLevel="0" collapsed="false">
      <c r="A648" s="12" t="s">
        <v>1393</v>
      </c>
      <c r="B648" s="8" t="s">
        <v>1395</v>
      </c>
      <c r="C648" s="8" t="s">
        <v>2209</v>
      </c>
      <c r="D648" s="12" t="s">
        <v>175</v>
      </c>
      <c r="E648" s="8" t="s">
        <v>2237</v>
      </c>
      <c r="F648" s="8" t="s">
        <v>3213</v>
      </c>
      <c r="G648" s="8" t="s">
        <v>2239</v>
      </c>
      <c r="H648" s="12" t="s">
        <v>194</v>
      </c>
      <c r="I648" s="8" t="s">
        <v>2213</v>
      </c>
      <c r="J648" s="8" t="s">
        <v>3214</v>
      </c>
      <c r="K648" s="8" t="s">
        <v>2215</v>
      </c>
    </row>
    <row r="649" customFormat="false" ht="24.75" hidden="false" customHeight="true" outlineLevel="0" collapsed="false">
      <c r="A649" s="12" t="s">
        <v>1393</v>
      </c>
      <c r="B649" s="8" t="s">
        <v>1395</v>
      </c>
      <c r="C649" s="8" t="s">
        <v>2209</v>
      </c>
      <c r="D649" s="12" t="s">
        <v>176</v>
      </c>
      <c r="E649" s="8" t="s">
        <v>2481</v>
      </c>
      <c r="F649" s="8" t="s">
        <v>3215</v>
      </c>
      <c r="G649" s="8" t="s">
        <v>2483</v>
      </c>
      <c r="H649" s="12" t="s">
        <v>194</v>
      </c>
      <c r="I649" s="8" t="s">
        <v>2213</v>
      </c>
      <c r="J649" s="8" t="s">
        <v>3216</v>
      </c>
      <c r="K649" s="8" t="s">
        <v>2485</v>
      </c>
    </row>
    <row r="650" customFormat="false" ht="24.75" hidden="false" customHeight="true" outlineLevel="0" collapsed="false">
      <c r="A650" s="12" t="s">
        <v>1393</v>
      </c>
      <c r="B650" s="8" t="s">
        <v>1395</v>
      </c>
      <c r="C650" s="8" t="s">
        <v>2209</v>
      </c>
      <c r="D650" s="12" t="s">
        <v>176</v>
      </c>
      <c r="E650" s="8" t="s">
        <v>2481</v>
      </c>
      <c r="F650" s="8" t="s">
        <v>3217</v>
      </c>
      <c r="G650" s="8" t="s">
        <v>2483</v>
      </c>
      <c r="H650" s="12" t="s">
        <v>194</v>
      </c>
      <c r="I650" s="8" t="s">
        <v>2213</v>
      </c>
      <c r="J650" s="8" t="s">
        <v>3218</v>
      </c>
      <c r="K650" s="8" t="s">
        <v>2485</v>
      </c>
    </row>
    <row r="651" customFormat="false" ht="14.25" hidden="false" customHeight="false" outlineLevel="0" collapsed="false">
      <c r="A651" s="12" t="s">
        <v>1398</v>
      </c>
      <c r="B651" s="8" t="s">
        <v>1400</v>
      </c>
      <c r="C651" s="8" t="s">
        <v>2209</v>
      </c>
      <c r="D651" s="12" t="s">
        <v>171</v>
      </c>
      <c r="E651" s="8" t="s">
        <v>2221</v>
      </c>
      <c r="F651" s="8" t="s">
        <v>3219</v>
      </c>
      <c r="G651" s="8" t="s">
        <v>2223</v>
      </c>
      <c r="H651" s="12" t="s">
        <v>194</v>
      </c>
      <c r="I651" s="8" t="s">
        <v>2213</v>
      </c>
      <c r="J651" s="8" t="s">
        <v>3220</v>
      </c>
      <c r="K651" s="8" t="s">
        <v>2215</v>
      </c>
    </row>
    <row r="652" customFormat="false" ht="24.75" hidden="false" customHeight="true" outlineLevel="0" collapsed="false">
      <c r="A652" s="12" t="s">
        <v>1398</v>
      </c>
      <c r="B652" s="8" t="s">
        <v>1400</v>
      </c>
      <c r="C652" s="8" t="s">
        <v>2209</v>
      </c>
      <c r="D652" s="12" t="s">
        <v>171</v>
      </c>
      <c r="E652" s="8" t="s">
        <v>2221</v>
      </c>
      <c r="F652" s="8" t="s">
        <v>3221</v>
      </c>
      <c r="G652" s="8" t="s">
        <v>2223</v>
      </c>
      <c r="H652" s="12" t="s">
        <v>194</v>
      </c>
      <c r="I652" s="8" t="s">
        <v>2213</v>
      </c>
      <c r="J652" s="8" t="s">
        <v>3222</v>
      </c>
      <c r="K652" s="8" t="s">
        <v>2215</v>
      </c>
    </row>
    <row r="653" customFormat="false" ht="24.75" hidden="false" customHeight="true" outlineLevel="0" collapsed="false">
      <c r="A653" s="12" t="s">
        <v>1398</v>
      </c>
      <c r="B653" s="8" t="s">
        <v>1400</v>
      </c>
      <c r="C653" s="8" t="s">
        <v>2209</v>
      </c>
      <c r="D653" s="12" t="s">
        <v>172</v>
      </c>
      <c r="E653" s="8" t="s">
        <v>2210</v>
      </c>
      <c r="F653" s="8" t="s">
        <v>3223</v>
      </c>
      <c r="G653" s="8" t="s">
        <v>2212</v>
      </c>
      <c r="H653" s="12" t="s">
        <v>194</v>
      </c>
      <c r="I653" s="8" t="s">
        <v>2213</v>
      </c>
      <c r="J653" s="8" t="s">
        <v>3224</v>
      </c>
      <c r="K653" s="8" t="s">
        <v>2215</v>
      </c>
    </row>
    <row r="654" customFormat="false" ht="49.5" hidden="false" customHeight="true" outlineLevel="0" collapsed="false">
      <c r="A654" s="12" t="s">
        <v>1398</v>
      </c>
      <c r="B654" s="8" t="s">
        <v>1400</v>
      </c>
      <c r="C654" s="8" t="s">
        <v>2209</v>
      </c>
      <c r="D654" s="12" t="s">
        <v>172</v>
      </c>
      <c r="E654" s="8" t="s">
        <v>2210</v>
      </c>
      <c r="F654" s="8" t="s">
        <v>2865</v>
      </c>
      <c r="G654" s="8" t="s">
        <v>2212</v>
      </c>
      <c r="H654" s="12" t="s">
        <v>194</v>
      </c>
      <c r="I654" s="8" t="s">
        <v>2213</v>
      </c>
      <c r="J654" s="8" t="s">
        <v>3225</v>
      </c>
      <c r="K654" s="8" t="s">
        <v>2215</v>
      </c>
    </row>
    <row r="655" customFormat="false" ht="24.75" hidden="false" customHeight="true" outlineLevel="0" collapsed="false">
      <c r="A655" s="12" t="s">
        <v>1398</v>
      </c>
      <c r="B655" s="8" t="s">
        <v>1400</v>
      </c>
      <c r="C655" s="8" t="s">
        <v>2209</v>
      </c>
      <c r="D655" s="12" t="s">
        <v>175</v>
      </c>
      <c r="E655" s="8" t="s">
        <v>2237</v>
      </c>
      <c r="F655" s="8" t="s">
        <v>3226</v>
      </c>
      <c r="G655" s="8" t="s">
        <v>3227</v>
      </c>
      <c r="H655" s="12" t="s">
        <v>232</v>
      </c>
      <c r="I655" s="8" t="s">
        <v>2213</v>
      </c>
      <c r="J655" s="8" t="s">
        <v>3228</v>
      </c>
      <c r="K655" s="8" t="s">
        <v>2215</v>
      </c>
    </row>
    <row r="656" customFormat="false" ht="24.75" hidden="false" customHeight="true" outlineLevel="0" collapsed="false">
      <c r="A656" s="12" t="s">
        <v>1398</v>
      </c>
      <c r="B656" s="8" t="s">
        <v>1400</v>
      </c>
      <c r="C656" s="8" t="s">
        <v>2209</v>
      </c>
      <c r="D656" s="12" t="s">
        <v>175</v>
      </c>
      <c r="E656" s="8" t="s">
        <v>2237</v>
      </c>
      <c r="F656" s="8" t="s">
        <v>3226</v>
      </c>
      <c r="G656" s="8" t="s">
        <v>3227</v>
      </c>
      <c r="H656" s="12" t="s">
        <v>232</v>
      </c>
      <c r="I656" s="8" t="s">
        <v>2213</v>
      </c>
      <c r="J656" s="8" t="s">
        <v>3229</v>
      </c>
      <c r="K656" s="8" t="s">
        <v>2215</v>
      </c>
    </row>
    <row r="657" customFormat="false" ht="24.75" hidden="false" customHeight="true" outlineLevel="0" collapsed="false">
      <c r="A657" s="12" t="s">
        <v>1398</v>
      </c>
      <c r="B657" s="8" t="s">
        <v>1400</v>
      </c>
      <c r="C657" s="8" t="s">
        <v>2209</v>
      </c>
      <c r="D657" s="12" t="s">
        <v>175</v>
      </c>
      <c r="E657" s="8" t="s">
        <v>2237</v>
      </c>
      <c r="F657" s="8" t="s">
        <v>3226</v>
      </c>
      <c r="G657" s="8" t="s">
        <v>3227</v>
      </c>
      <c r="H657" s="12" t="s">
        <v>232</v>
      </c>
      <c r="I657" s="8" t="s">
        <v>2213</v>
      </c>
      <c r="J657" s="8" t="s">
        <v>3230</v>
      </c>
      <c r="K657" s="8" t="s">
        <v>2215</v>
      </c>
    </row>
    <row r="658" customFormat="false" ht="24.75" hidden="false" customHeight="true" outlineLevel="0" collapsed="false">
      <c r="A658" s="12" t="s">
        <v>1398</v>
      </c>
      <c r="B658" s="8" t="s">
        <v>1400</v>
      </c>
      <c r="C658" s="8" t="s">
        <v>2209</v>
      </c>
      <c r="D658" s="12" t="s">
        <v>176</v>
      </c>
      <c r="E658" s="8" t="s">
        <v>2481</v>
      </c>
      <c r="F658" s="8" t="s">
        <v>3231</v>
      </c>
      <c r="G658" s="8" t="s">
        <v>2483</v>
      </c>
      <c r="H658" s="12" t="s">
        <v>194</v>
      </c>
      <c r="I658" s="8" t="s">
        <v>2213</v>
      </c>
      <c r="J658" s="8" t="s">
        <v>3232</v>
      </c>
      <c r="K658" s="8" t="s">
        <v>2485</v>
      </c>
    </row>
    <row r="659" customFormat="false" ht="24.75" hidden="false" customHeight="true" outlineLevel="0" collapsed="false">
      <c r="A659" s="12" t="s">
        <v>1398</v>
      </c>
      <c r="B659" s="8" t="s">
        <v>1400</v>
      </c>
      <c r="C659" s="8" t="s">
        <v>2209</v>
      </c>
      <c r="D659" s="12" t="s">
        <v>176</v>
      </c>
      <c r="E659" s="8" t="s">
        <v>2481</v>
      </c>
      <c r="F659" s="8" t="s">
        <v>3233</v>
      </c>
      <c r="G659" s="8" t="s">
        <v>2483</v>
      </c>
      <c r="H659" s="12" t="s">
        <v>194</v>
      </c>
      <c r="I659" s="8" t="s">
        <v>2213</v>
      </c>
      <c r="J659" s="8" t="s">
        <v>3234</v>
      </c>
      <c r="K659" s="8" t="s">
        <v>2485</v>
      </c>
    </row>
    <row r="660" customFormat="false" ht="24.75" hidden="false" customHeight="true" outlineLevel="0" collapsed="false">
      <c r="A660" s="12" t="s">
        <v>1403</v>
      </c>
      <c r="B660" s="8" t="s">
        <v>1405</v>
      </c>
      <c r="C660" s="8" t="s">
        <v>2209</v>
      </c>
      <c r="D660" s="12" t="s">
        <v>171</v>
      </c>
      <c r="E660" s="8" t="s">
        <v>2221</v>
      </c>
      <c r="F660" s="8" t="s">
        <v>3235</v>
      </c>
      <c r="G660" s="8" t="s">
        <v>2223</v>
      </c>
      <c r="H660" s="12" t="s">
        <v>194</v>
      </c>
      <c r="I660" s="8" t="s">
        <v>2213</v>
      </c>
      <c r="J660" s="8" t="s">
        <v>3236</v>
      </c>
      <c r="K660" s="8" t="s">
        <v>2215</v>
      </c>
    </row>
    <row r="661" customFormat="false" ht="24.75" hidden="false" customHeight="true" outlineLevel="0" collapsed="false">
      <c r="A661" s="12" t="s">
        <v>1403</v>
      </c>
      <c r="B661" s="8" t="s">
        <v>1405</v>
      </c>
      <c r="C661" s="8" t="s">
        <v>2209</v>
      </c>
      <c r="D661" s="12" t="s">
        <v>172</v>
      </c>
      <c r="E661" s="8" t="s">
        <v>2210</v>
      </c>
      <c r="F661" s="8" t="s">
        <v>3098</v>
      </c>
      <c r="G661" s="8" t="s">
        <v>2212</v>
      </c>
      <c r="H661" s="12" t="s">
        <v>194</v>
      </c>
      <c r="I661" s="8" t="s">
        <v>2213</v>
      </c>
      <c r="J661" s="8" t="s">
        <v>3237</v>
      </c>
      <c r="K661" s="8" t="s">
        <v>2215</v>
      </c>
    </row>
    <row r="662" customFormat="false" ht="24.75" hidden="false" customHeight="true" outlineLevel="0" collapsed="false">
      <c r="A662" s="12" t="s">
        <v>1403</v>
      </c>
      <c r="B662" s="8" t="s">
        <v>1405</v>
      </c>
      <c r="C662" s="8" t="s">
        <v>2209</v>
      </c>
      <c r="D662" s="12" t="s">
        <v>175</v>
      </c>
      <c r="E662" s="8" t="s">
        <v>2237</v>
      </c>
      <c r="F662" s="8" t="s">
        <v>3213</v>
      </c>
      <c r="G662" s="8" t="s">
        <v>2239</v>
      </c>
      <c r="H662" s="12" t="s">
        <v>194</v>
      </c>
      <c r="I662" s="8" t="s">
        <v>2213</v>
      </c>
      <c r="J662" s="8" t="s">
        <v>3238</v>
      </c>
      <c r="K662" s="8" t="s">
        <v>2215</v>
      </c>
    </row>
    <row r="663" customFormat="false" ht="24.75" hidden="false" customHeight="true" outlineLevel="0" collapsed="false">
      <c r="A663" s="12" t="s">
        <v>1403</v>
      </c>
      <c r="B663" s="8" t="s">
        <v>1405</v>
      </c>
      <c r="C663" s="8" t="s">
        <v>2209</v>
      </c>
      <c r="D663" s="12" t="s">
        <v>175</v>
      </c>
      <c r="E663" s="8" t="s">
        <v>2237</v>
      </c>
      <c r="F663" s="8" t="s">
        <v>3213</v>
      </c>
      <c r="G663" s="8" t="s">
        <v>2239</v>
      </c>
      <c r="H663" s="12" t="s">
        <v>194</v>
      </c>
      <c r="I663" s="8" t="s">
        <v>2213</v>
      </c>
      <c r="J663" s="8" t="s">
        <v>3239</v>
      </c>
      <c r="K663" s="8" t="s">
        <v>2215</v>
      </c>
    </row>
    <row r="664" customFormat="false" ht="24.75" hidden="false" customHeight="true" outlineLevel="0" collapsed="false">
      <c r="A664" s="12" t="s">
        <v>1403</v>
      </c>
      <c r="B664" s="8" t="s">
        <v>1405</v>
      </c>
      <c r="C664" s="8" t="s">
        <v>2209</v>
      </c>
      <c r="D664" s="12" t="s">
        <v>175</v>
      </c>
      <c r="E664" s="8" t="s">
        <v>2237</v>
      </c>
      <c r="F664" s="8" t="s">
        <v>3213</v>
      </c>
      <c r="G664" s="8" t="s">
        <v>2239</v>
      </c>
      <c r="H664" s="12" t="s">
        <v>194</v>
      </c>
      <c r="I664" s="8" t="s">
        <v>2213</v>
      </c>
      <c r="J664" s="8" t="s">
        <v>3240</v>
      </c>
      <c r="K664" s="8" t="s">
        <v>2215</v>
      </c>
    </row>
    <row r="665" customFormat="false" ht="24.75" hidden="false" customHeight="true" outlineLevel="0" collapsed="false">
      <c r="A665" s="12" t="s">
        <v>1403</v>
      </c>
      <c r="B665" s="8" t="s">
        <v>1405</v>
      </c>
      <c r="C665" s="8" t="s">
        <v>2209</v>
      </c>
      <c r="D665" s="12" t="s">
        <v>176</v>
      </c>
      <c r="E665" s="8" t="s">
        <v>2481</v>
      </c>
      <c r="F665" s="8" t="s">
        <v>3241</v>
      </c>
      <c r="G665" s="8" t="s">
        <v>2648</v>
      </c>
      <c r="H665" s="12" t="s">
        <v>232</v>
      </c>
      <c r="I665" s="8" t="s">
        <v>2213</v>
      </c>
      <c r="J665" s="8" t="s">
        <v>3242</v>
      </c>
      <c r="K665" s="8" t="s">
        <v>2485</v>
      </c>
    </row>
    <row r="666" customFormat="false" ht="24.75" hidden="false" customHeight="true" outlineLevel="0" collapsed="false">
      <c r="A666" s="12" t="s">
        <v>1408</v>
      </c>
      <c r="B666" s="8" t="s">
        <v>1410</v>
      </c>
      <c r="C666" s="8" t="s">
        <v>2209</v>
      </c>
      <c r="D666" s="12" t="s">
        <v>172</v>
      </c>
      <c r="E666" s="8" t="s">
        <v>2210</v>
      </c>
      <c r="F666" s="8" t="s">
        <v>3243</v>
      </c>
      <c r="G666" s="8" t="s">
        <v>2212</v>
      </c>
      <c r="H666" s="12" t="s">
        <v>194</v>
      </c>
      <c r="I666" s="8" t="s">
        <v>2213</v>
      </c>
      <c r="J666" s="8" t="s">
        <v>3244</v>
      </c>
      <c r="K666" s="8" t="s">
        <v>2215</v>
      </c>
    </row>
    <row r="667" customFormat="false" ht="24.75" hidden="false" customHeight="true" outlineLevel="0" collapsed="false">
      <c r="A667" s="12" t="s">
        <v>1408</v>
      </c>
      <c r="B667" s="8" t="s">
        <v>1410</v>
      </c>
      <c r="C667" s="8" t="s">
        <v>2209</v>
      </c>
      <c r="D667" s="12" t="s">
        <v>176</v>
      </c>
      <c r="E667" s="8" t="s">
        <v>2481</v>
      </c>
      <c r="F667" s="8" t="s">
        <v>3245</v>
      </c>
      <c r="G667" s="8" t="s">
        <v>2483</v>
      </c>
      <c r="H667" s="12" t="s">
        <v>194</v>
      </c>
      <c r="I667" s="8" t="s">
        <v>2213</v>
      </c>
      <c r="J667" s="8" t="s">
        <v>3246</v>
      </c>
      <c r="K667" s="8" t="s">
        <v>2485</v>
      </c>
    </row>
    <row r="668" customFormat="false" ht="24.75" hidden="false" customHeight="true" outlineLevel="0" collapsed="false">
      <c r="A668" s="12" t="s">
        <v>1414</v>
      </c>
      <c r="B668" s="8" t="s">
        <v>1416</v>
      </c>
      <c r="C668" s="8" t="s">
        <v>2209</v>
      </c>
      <c r="D668" s="12" t="s">
        <v>176</v>
      </c>
      <c r="E668" s="8" t="s">
        <v>2481</v>
      </c>
      <c r="F668" s="8" t="s">
        <v>3247</v>
      </c>
      <c r="G668" s="8" t="s">
        <v>2648</v>
      </c>
      <c r="H668" s="12" t="s">
        <v>232</v>
      </c>
      <c r="I668" s="8" t="s">
        <v>2213</v>
      </c>
      <c r="J668" s="8" t="s">
        <v>3248</v>
      </c>
      <c r="K668" s="8" t="s">
        <v>2485</v>
      </c>
    </row>
    <row r="669" customFormat="false" ht="37.5" hidden="false" customHeight="true" outlineLevel="0" collapsed="false">
      <c r="A669" s="12" t="s">
        <v>1420</v>
      </c>
      <c r="B669" s="8" t="s">
        <v>1423</v>
      </c>
      <c r="C669" s="8" t="s">
        <v>2209</v>
      </c>
      <c r="D669" s="12" t="s">
        <v>171</v>
      </c>
      <c r="E669" s="8" t="s">
        <v>2221</v>
      </c>
      <c r="F669" s="8" t="s">
        <v>3249</v>
      </c>
      <c r="G669" s="8" t="s">
        <v>2223</v>
      </c>
      <c r="H669" s="12" t="s">
        <v>194</v>
      </c>
      <c r="I669" s="8" t="s">
        <v>2213</v>
      </c>
      <c r="J669" s="8" t="s">
        <v>3250</v>
      </c>
      <c r="K669" s="8" t="s">
        <v>2215</v>
      </c>
    </row>
    <row r="670" customFormat="false" ht="37.5" hidden="false" customHeight="true" outlineLevel="0" collapsed="false">
      <c r="A670" s="12" t="s">
        <v>1420</v>
      </c>
      <c r="B670" s="8" t="s">
        <v>1423</v>
      </c>
      <c r="C670" s="8" t="s">
        <v>2209</v>
      </c>
      <c r="D670" s="12" t="s">
        <v>171</v>
      </c>
      <c r="E670" s="8" t="s">
        <v>2221</v>
      </c>
      <c r="F670" s="8" t="s">
        <v>3251</v>
      </c>
      <c r="G670" s="8" t="s">
        <v>2223</v>
      </c>
      <c r="H670" s="12" t="s">
        <v>194</v>
      </c>
      <c r="I670" s="8" t="s">
        <v>2213</v>
      </c>
      <c r="J670" s="8" t="s">
        <v>3252</v>
      </c>
      <c r="K670" s="8" t="s">
        <v>2215</v>
      </c>
    </row>
    <row r="671" customFormat="false" ht="37.5" hidden="false" customHeight="true" outlineLevel="0" collapsed="false">
      <c r="A671" s="12" t="s">
        <v>1420</v>
      </c>
      <c r="B671" s="8" t="s">
        <v>1423</v>
      </c>
      <c r="C671" s="8" t="s">
        <v>2209</v>
      </c>
      <c r="D671" s="12" t="s">
        <v>172</v>
      </c>
      <c r="E671" s="8" t="s">
        <v>2210</v>
      </c>
      <c r="F671" s="8" t="s">
        <v>3253</v>
      </c>
      <c r="G671" s="8" t="s">
        <v>2212</v>
      </c>
      <c r="H671" s="12" t="s">
        <v>194</v>
      </c>
      <c r="I671" s="8" t="s">
        <v>2213</v>
      </c>
      <c r="J671" s="8" t="s">
        <v>3254</v>
      </c>
      <c r="K671" s="8" t="s">
        <v>2215</v>
      </c>
    </row>
    <row r="672" customFormat="false" ht="24.75" hidden="false" customHeight="true" outlineLevel="0" collapsed="false">
      <c r="A672" s="12" t="s">
        <v>1420</v>
      </c>
      <c r="B672" s="8" t="s">
        <v>1423</v>
      </c>
      <c r="C672" s="8" t="s">
        <v>2209</v>
      </c>
      <c r="D672" s="12" t="s">
        <v>1984</v>
      </c>
      <c r="E672" s="8" t="s">
        <v>2997</v>
      </c>
      <c r="F672" s="8" t="s">
        <v>3255</v>
      </c>
      <c r="G672" s="8" t="s">
        <v>2483</v>
      </c>
      <c r="H672" s="12" t="s">
        <v>194</v>
      </c>
      <c r="I672" s="8" t="s">
        <v>2706</v>
      </c>
      <c r="J672" s="8" t="s">
        <v>3256</v>
      </c>
      <c r="K672" s="8" t="s">
        <v>2215</v>
      </c>
    </row>
    <row r="673" customFormat="false" ht="37.5" hidden="false" customHeight="true" outlineLevel="0" collapsed="false">
      <c r="A673" s="12" t="s">
        <v>1427</v>
      </c>
      <c r="B673" s="8" t="s">
        <v>1429</v>
      </c>
      <c r="C673" s="8" t="s">
        <v>2209</v>
      </c>
      <c r="D673" s="12" t="s">
        <v>171</v>
      </c>
      <c r="E673" s="8" t="s">
        <v>2221</v>
      </c>
      <c r="F673" s="8" t="s">
        <v>3257</v>
      </c>
      <c r="G673" s="8" t="s">
        <v>2223</v>
      </c>
      <c r="H673" s="12" t="s">
        <v>194</v>
      </c>
      <c r="I673" s="8" t="s">
        <v>2213</v>
      </c>
      <c r="J673" s="8" t="s">
        <v>3258</v>
      </c>
      <c r="K673" s="8" t="s">
        <v>2215</v>
      </c>
    </row>
    <row r="674" customFormat="false" ht="24.75" hidden="false" customHeight="true" outlineLevel="0" collapsed="false">
      <c r="A674" s="12" t="s">
        <v>1427</v>
      </c>
      <c r="B674" s="8" t="s">
        <v>1429</v>
      </c>
      <c r="C674" s="8" t="s">
        <v>2209</v>
      </c>
      <c r="D674" s="12" t="s">
        <v>172</v>
      </c>
      <c r="E674" s="8" t="s">
        <v>2210</v>
      </c>
      <c r="F674" s="8" t="s">
        <v>2865</v>
      </c>
      <c r="G674" s="8" t="s">
        <v>2212</v>
      </c>
      <c r="H674" s="12" t="s">
        <v>194</v>
      </c>
      <c r="I674" s="8" t="s">
        <v>2213</v>
      </c>
      <c r="J674" s="8" t="s">
        <v>3259</v>
      </c>
      <c r="K674" s="8" t="s">
        <v>2215</v>
      </c>
    </row>
    <row r="675" customFormat="false" ht="24.75" hidden="false" customHeight="true" outlineLevel="0" collapsed="false">
      <c r="A675" s="12" t="s">
        <v>1427</v>
      </c>
      <c r="B675" s="8" t="s">
        <v>1429</v>
      </c>
      <c r="C675" s="8" t="s">
        <v>2209</v>
      </c>
      <c r="D675" s="12" t="s">
        <v>175</v>
      </c>
      <c r="E675" s="8" t="s">
        <v>2237</v>
      </c>
      <c r="F675" s="8" t="s">
        <v>3226</v>
      </c>
      <c r="G675" s="8" t="s">
        <v>2239</v>
      </c>
      <c r="H675" s="12" t="s">
        <v>194</v>
      </c>
      <c r="I675" s="8" t="s">
        <v>2213</v>
      </c>
      <c r="J675" s="8" t="s">
        <v>3260</v>
      </c>
      <c r="K675" s="8" t="s">
        <v>2215</v>
      </c>
    </row>
    <row r="676" customFormat="false" ht="24.75" hidden="false" customHeight="true" outlineLevel="0" collapsed="false">
      <c r="A676" s="12" t="s">
        <v>1427</v>
      </c>
      <c r="B676" s="8" t="s">
        <v>1429</v>
      </c>
      <c r="C676" s="8" t="s">
        <v>2209</v>
      </c>
      <c r="D676" s="12" t="s">
        <v>176</v>
      </c>
      <c r="E676" s="8" t="s">
        <v>2481</v>
      </c>
      <c r="F676" s="8" t="s">
        <v>3261</v>
      </c>
      <c r="G676" s="8" t="s">
        <v>2483</v>
      </c>
      <c r="H676" s="12" t="s">
        <v>194</v>
      </c>
      <c r="I676" s="8" t="s">
        <v>2213</v>
      </c>
      <c r="J676" s="8" t="s">
        <v>3262</v>
      </c>
      <c r="K676" s="8" t="s">
        <v>2485</v>
      </c>
    </row>
    <row r="677" customFormat="false" ht="24.75" hidden="false" customHeight="true" outlineLevel="0" collapsed="false">
      <c r="A677" s="12" t="s">
        <v>1427</v>
      </c>
      <c r="B677" s="8" t="s">
        <v>1429</v>
      </c>
      <c r="C677" s="8" t="s">
        <v>2209</v>
      </c>
      <c r="D677" s="12" t="s">
        <v>1982</v>
      </c>
      <c r="E677" s="8" t="s">
        <v>2703</v>
      </c>
      <c r="F677" s="8" t="s">
        <v>2704</v>
      </c>
      <c r="G677" s="8" t="s">
        <v>2705</v>
      </c>
      <c r="H677" s="12" t="s">
        <v>195</v>
      </c>
      <c r="I677" s="8" t="s">
        <v>2706</v>
      </c>
      <c r="J677" s="8" t="s">
        <v>3263</v>
      </c>
      <c r="K677" s="8" t="s">
        <v>2215</v>
      </c>
    </row>
    <row r="678" customFormat="false" ht="24.75" hidden="false" customHeight="true" outlineLevel="0" collapsed="false">
      <c r="A678" s="12" t="s">
        <v>1432</v>
      </c>
      <c r="B678" s="8" t="s">
        <v>1434</v>
      </c>
      <c r="C678" s="8" t="s">
        <v>2209</v>
      </c>
      <c r="D678" s="12" t="s">
        <v>171</v>
      </c>
      <c r="E678" s="8" t="s">
        <v>2221</v>
      </c>
      <c r="F678" s="8" t="s">
        <v>3264</v>
      </c>
      <c r="G678" s="8" t="s">
        <v>2223</v>
      </c>
      <c r="H678" s="12" t="s">
        <v>194</v>
      </c>
      <c r="I678" s="8" t="s">
        <v>2213</v>
      </c>
      <c r="J678" s="8" t="s">
        <v>3265</v>
      </c>
      <c r="K678" s="8" t="s">
        <v>2215</v>
      </c>
    </row>
    <row r="679" customFormat="false" ht="24.75" hidden="false" customHeight="true" outlineLevel="0" collapsed="false">
      <c r="A679" s="12" t="s">
        <v>1432</v>
      </c>
      <c r="B679" s="8" t="s">
        <v>1434</v>
      </c>
      <c r="C679" s="8" t="s">
        <v>2209</v>
      </c>
      <c r="D679" s="12" t="s">
        <v>171</v>
      </c>
      <c r="E679" s="8" t="s">
        <v>2221</v>
      </c>
      <c r="F679" s="8" t="s">
        <v>3266</v>
      </c>
      <c r="G679" s="8" t="s">
        <v>2223</v>
      </c>
      <c r="H679" s="12" t="s">
        <v>194</v>
      </c>
      <c r="I679" s="8" t="s">
        <v>2213</v>
      </c>
      <c r="J679" s="8" t="s">
        <v>3267</v>
      </c>
      <c r="K679" s="8" t="s">
        <v>2215</v>
      </c>
    </row>
    <row r="680" customFormat="false" ht="24.75" hidden="false" customHeight="true" outlineLevel="0" collapsed="false">
      <c r="A680" s="12" t="s">
        <v>1432</v>
      </c>
      <c r="B680" s="8" t="s">
        <v>1434</v>
      </c>
      <c r="C680" s="8" t="s">
        <v>2209</v>
      </c>
      <c r="D680" s="12" t="s">
        <v>171</v>
      </c>
      <c r="E680" s="8" t="s">
        <v>2221</v>
      </c>
      <c r="F680" s="8" t="s">
        <v>3268</v>
      </c>
      <c r="G680" s="8" t="s">
        <v>2223</v>
      </c>
      <c r="H680" s="12" t="s">
        <v>194</v>
      </c>
      <c r="I680" s="8" t="s">
        <v>2213</v>
      </c>
      <c r="J680" s="8" t="s">
        <v>3269</v>
      </c>
      <c r="K680" s="8" t="s">
        <v>2215</v>
      </c>
    </row>
    <row r="681" customFormat="false" ht="24.75" hidden="false" customHeight="true" outlineLevel="0" collapsed="false">
      <c r="A681" s="12" t="s">
        <v>1432</v>
      </c>
      <c r="B681" s="8" t="s">
        <v>1434</v>
      </c>
      <c r="C681" s="8" t="s">
        <v>2209</v>
      </c>
      <c r="D681" s="12" t="s">
        <v>175</v>
      </c>
      <c r="E681" s="8" t="s">
        <v>2237</v>
      </c>
      <c r="F681" s="8" t="s">
        <v>3226</v>
      </c>
      <c r="G681" s="8" t="s">
        <v>3227</v>
      </c>
      <c r="H681" s="12" t="s">
        <v>232</v>
      </c>
      <c r="I681" s="8" t="s">
        <v>2213</v>
      </c>
      <c r="J681" s="8" t="s">
        <v>3270</v>
      </c>
      <c r="K681" s="8" t="s">
        <v>2215</v>
      </c>
    </row>
    <row r="682" customFormat="false" ht="24.75" hidden="false" customHeight="true" outlineLevel="0" collapsed="false">
      <c r="A682" s="12" t="s">
        <v>1438</v>
      </c>
      <c r="B682" s="8" t="s">
        <v>1440</v>
      </c>
      <c r="C682" s="8" t="s">
        <v>2209</v>
      </c>
      <c r="D682" s="12" t="s">
        <v>171</v>
      </c>
      <c r="E682" s="8" t="s">
        <v>2221</v>
      </c>
      <c r="F682" s="8" t="s">
        <v>3271</v>
      </c>
      <c r="G682" s="8" t="s">
        <v>2223</v>
      </c>
      <c r="H682" s="12" t="s">
        <v>194</v>
      </c>
      <c r="I682" s="8" t="s">
        <v>2213</v>
      </c>
      <c r="J682" s="8" t="s">
        <v>3272</v>
      </c>
      <c r="K682" s="8" t="s">
        <v>2215</v>
      </c>
    </row>
    <row r="683" customFormat="false" ht="24.75" hidden="false" customHeight="true" outlineLevel="0" collapsed="false">
      <c r="A683" s="12" t="s">
        <v>1438</v>
      </c>
      <c r="B683" s="8" t="s">
        <v>1440</v>
      </c>
      <c r="C683" s="8" t="s">
        <v>2209</v>
      </c>
      <c r="D683" s="12" t="s">
        <v>173</v>
      </c>
      <c r="E683" s="8" t="s">
        <v>2260</v>
      </c>
      <c r="F683" s="8" t="s">
        <v>3273</v>
      </c>
      <c r="G683" s="8" t="s">
        <v>2262</v>
      </c>
      <c r="H683" s="12" t="s">
        <v>194</v>
      </c>
      <c r="I683" s="8" t="s">
        <v>2213</v>
      </c>
      <c r="J683" s="8" t="s">
        <v>3274</v>
      </c>
      <c r="K683" s="8" t="s">
        <v>2215</v>
      </c>
    </row>
    <row r="684" customFormat="false" ht="99.75" hidden="false" customHeight="true" outlineLevel="0" collapsed="false">
      <c r="A684" s="12" t="s">
        <v>1438</v>
      </c>
      <c r="B684" s="8" t="s">
        <v>1440</v>
      </c>
      <c r="C684" s="8" t="s">
        <v>2209</v>
      </c>
      <c r="D684" s="12" t="s">
        <v>173</v>
      </c>
      <c r="E684" s="8" t="s">
        <v>2260</v>
      </c>
      <c r="F684" s="8" t="s">
        <v>3275</v>
      </c>
      <c r="G684" s="8" t="s">
        <v>2262</v>
      </c>
      <c r="H684" s="12" t="s">
        <v>194</v>
      </c>
      <c r="I684" s="8" t="s">
        <v>2213</v>
      </c>
      <c r="J684" s="8" t="s">
        <v>3276</v>
      </c>
      <c r="K684" s="8" t="s">
        <v>2215</v>
      </c>
    </row>
    <row r="685" customFormat="false" ht="24.75" hidden="false" customHeight="true" outlineLevel="0" collapsed="false">
      <c r="A685" s="12" t="s">
        <v>1438</v>
      </c>
      <c r="B685" s="8" t="s">
        <v>1440</v>
      </c>
      <c r="C685" s="8" t="s">
        <v>2209</v>
      </c>
      <c r="D685" s="12" t="s">
        <v>174</v>
      </c>
      <c r="E685" s="8" t="s">
        <v>2216</v>
      </c>
      <c r="F685" s="8" t="s">
        <v>2217</v>
      </c>
      <c r="G685" s="8" t="s">
        <v>2218</v>
      </c>
      <c r="H685" s="12" t="s">
        <v>195</v>
      </c>
      <c r="I685" s="8" t="s">
        <v>2213</v>
      </c>
      <c r="J685" s="8" t="s">
        <v>3277</v>
      </c>
      <c r="K685" s="8" t="s">
        <v>2215</v>
      </c>
    </row>
    <row r="686" customFormat="false" ht="24.75" hidden="false" customHeight="true" outlineLevel="0" collapsed="false">
      <c r="A686" s="12" t="s">
        <v>1438</v>
      </c>
      <c r="B686" s="8" t="s">
        <v>1440</v>
      </c>
      <c r="C686" s="8" t="s">
        <v>2209</v>
      </c>
      <c r="D686" s="12" t="s">
        <v>174</v>
      </c>
      <c r="E686" s="8" t="s">
        <v>2216</v>
      </c>
      <c r="F686" s="8" t="s">
        <v>3278</v>
      </c>
      <c r="G686" s="8" t="s">
        <v>2218</v>
      </c>
      <c r="H686" s="12" t="s">
        <v>195</v>
      </c>
      <c r="I686" s="8" t="s">
        <v>2213</v>
      </c>
      <c r="J686" s="8" t="s">
        <v>3279</v>
      </c>
      <c r="K686" s="8" t="s">
        <v>2215</v>
      </c>
    </row>
    <row r="687" customFormat="false" ht="49.5" hidden="false" customHeight="true" outlineLevel="0" collapsed="false">
      <c r="A687" s="12" t="s">
        <v>1438</v>
      </c>
      <c r="B687" s="8" t="s">
        <v>1440</v>
      </c>
      <c r="C687" s="8" t="s">
        <v>2209</v>
      </c>
      <c r="D687" s="12" t="s">
        <v>1982</v>
      </c>
      <c r="E687" s="8" t="s">
        <v>2703</v>
      </c>
      <c r="F687" s="8" t="s">
        <v>2704</v>
      </c>
      <c r="G687" s="8" t="s">
        <v>2705</v>
      </c>
      <c r="H687" s="12" t="s">
        <v>195</v>
      </c>
      <c r="I687" s="8" t="s">
        <v>2706</v>
      </c>
      <c r="J687" s="8" t="s">
        <v>3280</v>
      </c>
      <c r="K687" s="8" t="s">
        <v>2215</v>
      </c>
    </row>
    <row r="688" customFormat="false" ht="24.75" hidden="false" customHeight="true" outlineLevel="0" collapsed="false">
      <c r="A688" s="12" t="s">
        <v>1438</v>
      </c>
      <c r="B688" s="8" t="s">
        <v>1440</v>
      </c>
      <c r="C688" s="8" t="s">
        <v>2209</v>
      </c>
      <c r="D688" s="12" t="s">
        <v>1984</v>
      </c>
      <c r="E688" s="8" t="s">
        <v>2997</v>
      </c>
      <c r="F688" s="8" t="s">
        <v>3281</v>
      </c>
      <c r="G688" s="8" t="s">
        <v>2483</v>
      </c>
      <c r="H688" s="12" t="s">
        <v>194</v>
      </c>
      <c r="I688" s="8" t="s">
        <v>2706</v>
      </c>
      <c r="J688" s="8" t="s">
        <v>3282</v>
      </c>
      <c r="K688" s="8" t="s">
        <v>2215</v>
      </c>
    </row>
    <row r="689" customFormat="false" ht="14.25" hidden="false" customHeight="false" outlineLevel="0" collapsed="false">
      <c r="A689" s="12" t="s">
        <v>1444</v>
      </c>
      <c r="B689" s="8" t="s">
        <v>1447</v>
      </c>
      <c r="C689" s="8" t="s">
        <v>2209</v>
      </c>
      <c r="D689" s="12" t="s">
        <v>171</v>
      </c>
      <c r="E689" s="8" t="s">
        <v>2221</v>
      </c>
      <c r="F689" s="8" t="s">
        <v>3283</v>
      </c>
      <c r="G689" s="8" t="s">
        <v>2223</v>
      </c>
      <c r="H689" s="12" t="s">
        <v>194</v>
      </c>
      <c r="I689" s="8" t="s">
        <v>2213</v>
      </c>
      <c r="J689" s="8" t="s">
        <v>3284</v>
      </c>
      <c r="K689" s="8" t="s">
        <v>2215</v>
      </c>
    </row>
    <row r="690" customFormat="false" ht="14.25" hidden="false" customHeight="false" outlineLevel="0" collapsed="false">
      <c r="A690" s="12" t="s">
        <v>1444</v>
      </c>
      <c r="B690" s="8" t="s">
        <v>1447</v>
      </c>
      <c r="C690" s="8" t="s">
        <v>2209</v>
      </c>
      <c r="D690" s="12" t="s">
        <v>171</v>
      </c>
      <c r="E690" s="8" t="s">
        <v>2221</v>
      </c>
      <c r="F690" s="8" t="s">
        <v>3285</v>
      </c>
      <c r="G690" s="8" t="s">
        <v>2223</v>
      </c>
      <c r="H690" s="12" t="s">
        <v>194</v>
      </c>
      <c r="I690" s="8" t="s">
        <v>2213</v>
      </c>
      <c r="J690" s="8" t="s">
        <v>3286</v>
      </c>
      <c r="K690" s="8" t="s">
        <v>2215</v>
      </c>
    </row>
    <row r="691" customFormat="false" ht="14.25" hidden="false" customHeight="false" outlineLevel="0" collapsed="false">
      <c r="A691" s="12" t="s">
        <v>1444</v>
      </c>
      <c r="B691" s="8" t="s">
        <v>1447</v>
      </c>
      <c r="C691" s="8" t="s">
        <v>2209</v>
      </c>
      <c r="D691" s="12" t="s">
        <v>172</v>
      </c>
      <c r="E691" s="8" t="s">
        <v>2210</v>
      </c>
      <c r="F691" s="8" t="s">
        <v>3287</v>
      </c>
      <c r="G691" s="8" t="s">
        <v>2212</v>
      </c>
      <c r="H691" s="12" t="s">
        <v>194</v>
      </c>
      <c r="I691" s="8" t="s">
        <v>2213</v>
      </c>
      <c r="J691" s="8" t="s">
        <v>3288</v>
      </c>
      <c r="K691" s="8" t="s">
        <v>2215</v>
      </c>
    </row>
    <row r="692" customFormat="false" ht="14.25" hidden="false" customHeight="false" outlineLevel="0" collapsed="false">
      <c r="A692" s="12" t="s">
        <v>1444</v>
      </c>
      <c r="B692" s="8" t="s">
        <v>1447</v>
      </c>
      <c r="C692" s="8" t="s">
        <v>2209</v>
      </c>
      <c r="D692" s="12" t="s">
        <v>173</v>
      </c>
      <c r="E692" s="8" t="s">
        <v>2260</v>
      </c>
      <c r="F692" s="8" t="s">
        <v>3289</v>
      </c>
      <c r="G692" s="8" t="s">
        <v>2262</v>
      </c>
      <c r="H692" s="12" t="s">
        <v>194</v>
      </c>
      <c r="I692" s="8" t="s">
        <v>2213</v>
      </c>
      <c r="J692" s="8" t="s">
        <v>3290</v>
      </c>
      <c r="K692" s="8" t="s">
        <v>2215</v>
      </c>
    </row>
    <row r="693" customFormat="false" ht="24.75" hidden="false" customHeight="true" outlineLevel="0" collapsed="false">
      <c r="A693" s="12" t="s">
        <v>1444</v>
      </c>
      <c r="B693" s="8" t="s">
        <v>1447</v>
      </c>
      <c r="C693" s="8" t="s">
        <v>2209</v>
      </c>
      <c r="D693" s="12" t="s">
        <v>175</v>
      </c>
      <c r="E693" s="8" t="s">
        <v>2237</v>
      </c>
      <c r="F693" s="8" t="s">
        <v>3080</v>
      </c>
      <c r="G693" s="8" t="s">
        <v>2239</v>
      </c>
      <c r="H693" s="12" t="s">
        <v>194</v>
      </c>
      <c r="I693" s="8" t="s">
        <v>2213</v>
      </c>
      <c r="J693" s="8" t="s">
        <v>3291</v>
      </c>
      <c r="K693" s="8" t="s">
        <v>2215</v>
      </c>
    </row>
    <row r="694" customFormat="false" ht="24.75" hidden="false" customHeight="true" outlineLevel="0" collapsed="false">
      <c r="A694" s="12" t="s">
        <v>1444</v>
      </c>
      <c r="B694" s="8" t="s">
        <v>1447</v>
      </c>
      <c r="C694" s="8" t="s">
        <v>2209</v>
      </c>
      <c r="D694" s="12" t="s">
        <v>1981</v>
      </c>
      <c r="E694" s="8" t="s">
        <v>2939</v>
      </c>
      <c r="F694" s="8" t="s">
        <v>2940</v>
      </c>
      <c r="G694" s="8" t="s">
        <v>2941</v>
      </c>
      <c r="H694" s="12" t="s">
        <v>195</v>
      </c>
      <c r="I694" s="8" t="s">
        <v>2706</v>
      </c>
      <c r="J694" s="8" t="s">
        <v>3292</v>
      </c>
      <c r="K694" s="8" t="s">
        <v>2215</v>
      </c>
    </row>
    <row r="695" customFormat="false" ht="37.5" hidden="false" customHeight="true" outlineLevel="0" collapsed="false">
      <c r="A695" s="12" t="s">
        <v>1452</v>
      </c>
      <c r="B695" s="8" t="s">
        <v>1454</v>
      </c>
      <c r="C695" s="8" t="s">
        <v>2209</v>
      </c>
      <c r="D695" s="12" t="s">
        <v>172</v>
      </c>
      <c r="E695" s="8" t="s">
        <v>2210</v>
      </c>
      <c r="F695" s="8" t="s">
        <v>3223</v>
      </c>
      <c r="G695" s="8" t="s">
        <v>2212</v>
      </c>
      <c r="H695" s="12" t="s">
        <v>194</v>
      </c>
      <c r="I695" s="8" t="s">
        <v>2213</v>
      </c>
      <c r="J695" s="8" t="s">
        <v>3293</v>
      </c>
      <c r="K695" s="8" t="s">
        <v>2215</v>
      </c>
    </row>
    <row r="696" customFormat="false" ht="14.25" hidden="false" customHeight="false" outlineLevel="0" collapsed="false">
      <c r="A696" s="12" t="s">
        <v>1452</v>
      </c>
      <c r="B696" s="8" t="s">
        <v>1454</v>
      </c>
      <c r="C696" s="8" t="s">
        <v>2209</v>
      </c>
      <c r="D696" s="12" t="s">
        <v>173</v>
      </c>
      <c r="E696" s="8" t="s">
        <v>2260</v>
      </c>
      <c r="F696" s="8" t="s">
        <v>3289</v>
      </c>
      <c r="G696" s="8" t="s">
        <v>2262</v>
      </c>
      <c r="H696" s="12" t="s">
        <v>194</v>
      </c>
      <c r="I696" s="8" t="s">
        <v>2213</v>
      </c>
      <c r="J696" s="8" t="s">
        <v>3294</v>
      </c>
      <c r="K696" s="8" t="s">
        <v>2215</v>
      </c>
    </row>
    <row r="697" customFormat="false" ht="37.5" hidden="false" customHeight="true" outlineLevel="0" collapsed="false">
      <c r="A697" s="12" t="s">
        <v>1452</v>
      </c>
      <c r="B697" s="8" t="s">
        <v>1454</v>
      </c>
      <c r="C697" s="8" t="s">
        <v>2209</v>
      </c>
      <c r="D697" s="12" t="s">
        <v>175</v>
      </c>
      <c r="E697" s="8" t="s">
        <v>2237</v>
      </c>
      <c r="F697" s="8" t="s">
        <v>3080</v>
      </c>
      <c r="G697" s="8" t="s">
        <v>2239</v>
      </c>
      <c r="H697" s="12" t="s">
        <v>194</v>
      </c>
      <c r="I697" s="8" t="s">
        <v>2213</v>
      </c>
      <c r="J697" s="8" t="s">
        <v>3295</v>
      </c>
      <c r="K697" s="8" t="s">
        <v>2215</v>
      </c>
    </row>
    <row r="698" customFormat="false" ht="24.75" hidden="false" customHeight="true" outlineLevel="0" collapsed="false">
      <c r="A698" s="12" t="s">
        <v>1452</v>
      </c>
      <c r="B698" s="8" t="s">
        <v>1454</v>
      </c>
      <c r="C698" s="8" t="s">
        <v>2209</v>
      </c>
      <c r="D698" s="12" t="s">
        <v>175</v>
      </c>
      <c r="E698" s="8" t="s">
        <v>2237</v>
      </c>
      <c r="F698" s="8" t="s">
        <v>3226</v>
      </c>
      <c r="G698" s="8" t="s">
        <v>3227</v>
      </c>
      <c r="H698" s="12" t="s">
        <v>232</v>
      </c>
      <c r="I698" s="8" t="s">
        <v>2213</v>
      </c>
      <c r="J698" s="8" t="s">
        <v>3296</v>
      </c>
      <c r="K698" s="8" t="s">
        <v>2215</v>
      </c>
    </row>
    <row r="699" customFormat="false" ht="24.75" hidden="false" customHeight="true" outlineLevel="0" collapsed="false">
      <c r="A699" s="12" t="s">
        <v>1452</v>
      </c>
      <c r="B699" s="8" t="s">
        <v>1454</v>
      </c>
      <c r="C699" s="8" t="s">
        <v>2209</v>
      </c>
      <c r="D699" s="12" t="s">
        <v>176</v>
      </c>
      <c r="E699" s="8" t="s">
        <v>2481</v>
      </c>
      <c r="F699" s="8" t="s">
        <v>3297</v>
      </c>
      <c r="G699" s="8" t="s">
        <v>2483</v>
      </c>
      <c r="H699" s="12" t="s">
        <v>194</v>
      </c>
      <c r="I699" s="8" t="s">
        <v>2213</v>
      </c>
      <c r="J699" s="8" t="s">
        <v>3298</v>
      </c>
      <c r="K699" s="8" t="s">
        <v>2485</v>
      </c>
    </row>
    <row r="700" customFormat="false" ht="24.75" hidden="false" customHeight="true" outlineLevel="0" collapsed="false">
      <c r="A700" s="12" t="s">
        <v>1452</v>
      </c>
      <c r="B700" s="8" t="s">
        <v>1454</v>
      </c>
      <c r="C700" s="8" t="s">
        <v>2209</v>
      </c>
      <c r="D700" s="12" t="s">
        <v>1981</v>
      </c>
      <c r="E700" s="8" t="s">
        <v>2939</v>
      </c>
      <c r="F700" s="8" t="s">
        <v>2940</v>
      </c>
      <c r="G700" s="8" t="s">
        <v>2941</v>
      </c>
      <c r="H700" s="12" t="s">
        <v>195</v>
      </c>
      <c r="I700" s="8" t="s">
        <v>2706</v>
      </c>
      <c r="J700" s="8" t="s">
        <v>3299</v>
      </c>
      <c r="K700" s="8" t="s">
        <v>2215</v>
      </c>
    </row>
    <row r="701" customFormat="false" ht="37.5" hidden="false" customHeight="true" outlineLevel="0" collapsed="false">
      <c r="A701" s="12" t="s">
        <v>1458</v>
      </c>
      <c r="B701" s="8" t="s">
        <v>1460</v>
      </c>
      <c r="C701" s="8" t="s">
        <v>2209</v>
      </c>
      <c r="D701" s="12" t="s">
        <v>172</v>
      </c>
      <c r="E701" s="8" t="s">
        <v>2210</v>
      </c>
      <c r="F701" s="8" t="s">
        <v>3078</v>
      </c>
      <c r="G701" s="8" t="s">
        <v>2212</v>
      </c>
      <c r="H701" s="12" t="s">
        <v>194</v>
      </c>
      <c r="I701" s="8" t="s">
        <v>2213</v>
      </c>
      <c r="J701" s="8" t="s">
        <v>3300</v>
      </c>
      <c r="K701" s="8" t="s">
        <v>2215</v>
      </c>
    </row>
    <row r="702" customFormat="false" ht="24.75" hidden="false" customHeight="true" outlineLevel="0" collapsed="false">
      <c r="A702" s="12" t="s">
        <v>1458</v>
      </c>
      <c r="B702" s="8" t="s">
        <v>1460</v>
      </c>
      <c r="C702" s="8" t="s">
        <v>2209</v>
      </c>
      <c r="D702" s="12" t="s">
        <v>173</v>
      </c>
      <c r="E702" s="8" t="s">
        <v>2260</v>
      </c>
      <c r="F702" s="8" t="s">
        <v>3301</v>
      </c>
      <c r="G702" s="8" t="s">
        <v>2262</v>
      </c>
      <c r="H702" s="12" t="s">
        <v>194</v>
      </c>
      <c r="I702" s="8" t="s">
        <v>2213</v>
      </c>
      <c r="J702" s="8" t="s">
        <v>3302</v>
      </c>
      <c r="K702" s="8" t="s">
        <v>2215</v>
      </c>
    </row>
    <row r="703" customFormat="false" ht="24.75" hidden="false" customHeight="true" outlineLevel="0" collapsed="false">
      <c r="A703" s="12" t="s">
        <v>1458</v>
      </c>
      <c r="B703" s="8" t="s">
        <v>1460</v>
      </c>
      <c r="C703" s="8" t="s">
        <v>2209</v>
      </c>
      <c r="D703" s="12" t="s">
        <v>175</v>
      </c>
      <c r="E703" s="8" t="s">
        <v>2237</v>
      </c>
      <c r="F703" s="8" t="s">
        <v>3080</v>
      </c>
      <c r="G703" s="8" t="s">
        <v>2239</v>
      </c>
      <c r="H703" s="12" t="s">
        <v>194</v>
      </c>
      <c r="I703" s="8" t="s">
        <v>2213</v>
      </c>
      <c r="J703" s="8" t="s">
        <v>3303</v>
      </c>
      <c r="K703" s="8" t="s">
        <v>2215</v>
      </c>
    </row>
    <row r="704" customFormat="false" ht="24.75" hidden="false" customHeight="true" outlineLevel="0" collapsed="false">
      <c r="A704" s="12" t="s">
        <v>1458</v>
      </c>
      <c r="B704" s="8" t="s">
        <v>1460</v>
      </c>
      <c r="C704" s="8" t="s">
        <v>2209</v>
      </c>
      <c r="D704" s="12" t="s">
        <v>1981</v>
      </c>
      <c r="E704" s="8" t="s">
        <v>2939</v>
      </c>
      <c r="F704" s="8" t="s">
        <v>2940</v>
      </c>
      <c r="G704" s="8" t="s">
        <v>2941</v>
      </c>
      <c r="H704" s="12" t="s">
        <v>195</v>
      </c>
      <c r="I704" s="8" t="s">
        <v>2706</v>
      </c>
      <c r="J704" s="8" t="s">
        <v>3304</v>
      </c>
      <c r="K704" s="8" t="s">
        <v>2215</v>
      </c>
    </row>
    <row r="705" customFormat="false" ht="24.75" hidden="false" customHeight="true" outlineLevel="0" collapsed="false">
      <c r="A705" s="12" t="s">
        <v>1464</v>
      </c>
      <c r="B705" s="8" t="s">
        <v>1465</v>
      </c>
      <c r="C705" s="8" t="s">
        <v>2209</v>
      </c>
      <c r="D705" s="12" t="s">
        <v>172</v>
      </c>
      <c r="E705" s="8" t="s">
        <v>2210</v>
      </c>
      <c r="F705" s="8" t="s">
        <v>2865</v>
      </c>
      <c r="G705" s="8" t="s">
        <v>2212</v>
      </c>
      <c r="H705" s="12" t="s">
        <v>194</v>
      </c>
      <c r="I705" s="8" t="s">
        <v>2213</v>
      </c>
      <c r="J705" s="8" t="s">
        <v>3305</v>
      </c>
      <c r="K705" s="8" t="s">
        <v>2215</v>
      </c>
    </row>
    <row r="706" customFormat="false" ht="49.5" hidden="false" customHeight="true" outlineLevel="0" collapsed="false">
      <c r="A706" s="12" t="s">
        <v>1464</v>
      </c>
      <c r="B706" s="8" t="s">
        <v>1465</v>
      </c>
      <c r="C706" s="8" t="s">
        <v>2209</v>
      </c>
      <c r="D706" s="12" t="s">
        <v>172</v>
      </c>
      <c r="E706" s="8" t="s">
        <v>2210</v>
      </c>
      <c r="F706" s="8" t="s">
        <v>3306</v>
      </c>
      <c r="G706" s="8" t="s">
        <v>2212</v>
      </c>
      <c r="H706" s="12" t="s">
        <v>194</v>
      </c>
      <c r="I706" s="8" t="s">
        <v>2213</v>
      </c>
      <c r="J706" s="8" t="s">
        <v>3307</v>
      </c>
      <c r="K706" s="8" t="s">
        <v>2215</v>
      </c>
    </row>
    <row r="707" customFormat="false" ht="24.75" hidden="false" customHeight="true" outlineLevel="0" collapsed="false">
      <c r="A707" s="12" t="s">
        <v>1464</v>
      </c>
      <c r="B707" s="8" t="s">
        <v>1465</v>
      </c>
      <c r="C707" s="8" t="s">
        <v>2209</v>
      </c>
      <c r="D707" s="12" t="s">
        <v>172</v>
      </c>
      <c r="E707" s="8" t="s">
        <v>2210</v>
      </c>
      <c r="F707" s="8" t="s">
        <v>3306</v>
      </c>
      <c r="G707" s="8" t="s">
        <v>2212</v>
      </c>
      <c r="H707" s="12" t="s">
        <v>194</v>
      </c>
      <c r="I707" s="8" t="s">
        <v>2213</v>
      </c>
      <c r="J707" s="8" t="s">
        <v>3308</v>
      </c>
      <c r="K707" s="8" t="s">
        <v>2215</v>
      </c>
    </row>
    <row r="708" customFormat="false" ht="24.75" hidden="false" customHeight="true" outlineLevel="0" collapsed="false">
      <c r="A708" s="12" t="s">
        <v>1464</v>
      </c>
      <c r="B708" s="8" t="s">
        <v>1465</v>
      </c>
      <c r="C708" s="8" t="s">
        <v>2209</v>
      </c>
      <c r="D708" s="12" t="s">
        <v>1981</v>
      </c>
      <c r="E708" s="8" t="s">
        <v>2939</v>
      </c>
      <c r="F708" s="8" t="s">
        <v>2940</v>
      </c>
      <c r="G708" s="8" t="s">
        <v>2941</v>
      </c>
      <c r="H708" s="12" t="s">
        <v>195</v>
      </c>
      <c r="I708" s="8" t="s">
        <v>2706</v>
      </c>
      <c r="J708" s="8" t="s">
        <v>3309</v>
      </c>
      <c r="K708" s="8" t="s">
        <v>2215</v>
      </c>
    </row>
    <row r="709" customFormat="false" ht="24.75" hidden="false" customHeight="true" outlineLevel="0" collapsed="false">
      <c r="A709" s="12" t="s">
        <v>1985</v>
      </c>
      <c r="B709" s="8" t="s">
        <v>1989</v>
      </c>
      <c r="C709" s="8" t="s">
        <v>3310</v>
      </c>
      <c r="D709" s="12" t="s">
        <v>1981</v>
      </c>
      <c r="E709" s="8" t="s">
        <v>2939</v>
      </c>
      <c r="F709" s="8" t="s">
        <v>2940</v>
      </c>
      <c r="G709" s="8" t="s">
        <v>2941</v>
      </c>
      <c r="H709" s="12" t="s">
        <v>195</v>
      </c>
      <c r="I709" s="8" t="s">
        <v>2213</v>
      </c>
      <c r="J709" s="8" t="s">
        <v>3311</v>
      </c>
      <c r="K709" s="8" t="s">
        <v>2215</v>
      </c>
    </row>
    <row r="710" customFormat="false" ht="24.75" hidden="false" customHeight="true" outlineLevel="0" collapsed="false">
      <c r="A710" s="12" t="s">
        <v>1985</v>
      </c>
      <c r="B710" s="8" t="s">
        <v>1989</v>
      </c>
      <c r="C710" s="8" t="s">
        <v>3310</v>
      </c>
      <c r="D710" s="12" t="s">
        <v>1982</v>
      </c>
      <c r="E710" s="8" t="s">
        <v>2703</v>
      </c>
      <c r="F710" s="8" t="s">
        <v>2704</v>
      </c>
      <c r="G710" s="8" t="s">
        <v>2705</v>
      </c>
      <c r="H710" s="12" t="s">
        <v>195</v>
      </c>
      <c r="I710" s="8" t="s">
        <v>2213</v>
      </c>
      <c r="J710" s="8" t="s">
        <v>3312</v>
      </c>
      <c r="K710" s="8" t="s">
        <v>2215</v>
      </c>
    </row>
    <row r="711" customFormat="false" ht="24.75" hidden="false" customHeight="true" outlineLevel="0" collapsed="false">
      <c r="A711" s="12" t="s">
        <v>1985</v>
      </c>
      <c r="B711" s="8" t="s">
        <v>1989</v>
      </c>
      <c r="C711" s="8" t="s">
        <v>3310</v>
      </c>
      <c r="D711" s="12" t="s">
        <v>1983</v>
      </c>
      <c r="E711" s="8" t="s">
        <v>3100</v>
      </c>
      <c r="F711" s="8" t="s">
        <v>3313</v>
      </c>
      <c r="G711" s="8" t="s">
        <v>3102</v>
      </c>
      <c r="H711" s="12" t="s">
        <v>194</v>
      </c>
      <c r="I711" s="8" t="s">
        <v>2213</v>
      </c>
      <c r="J711" s="8" t="s">
        <v>3314</v>
      </c>
      <c r="K711" s="8" t="s">
        <v>2215</v>
      </c>
    </row>
    <row r="712" customFormat="false" ht="24.75" hidden="false" customHeight="true" outlineLevel="0" collapsed="false">
      <c r="A712" s="12" t="s">
        <v>1985</v>
      </c>
      <c r="B712" s="8" t="s">
        <v>1989</v>
      </c>
      <c r="C712" s="8" t="s">
        <v>3310</v>
      </c>
      <c r="D712" s="12" t="s">
        <v>1983</v>
      </c>
      <c r="E712" s="8" t="s">
        <v>3100</v>
      </c>
      <c r="F712" s="8" t="s">
        <v>3313</v>
      </c>
      <c r="G712" s="8" t="s">
        <v>3102</v>
      </c>
      <c r="H712" s="12" t="s">
        <v>194</v>
      </c>
      <c r="I712" s="8" t="s">
        <v>2213</v>
      </c>
      <c r="J712" s="8" t="s">
        <v>3315</v>
      </c>
      <c r="K712" s="8" t="s">
        <v>2215</v>
      </c>
    </row>
    <row r="713" customFormat="false" ht="24.75" hidden="false" customHeight="true" outlineLevel="0" collapsed="false">
      <c r="A713" s="12" t="s">
        <v>1985</v>
      </c>
      <c r="B713" s="8" t="s">
        <v>1989</v>
      </c>
      <c r="C713" s="8" t="s">
        <v>3310</v>
      </c>
      <c r="D713" s="12" t="s">
        <v>1983</v>
      </c>
      <c r="E713" s="8" t="s">
        <v>3100</v>
      </c>
      <c r="F713" s="8" t="s">
        <v>3313</v>
      </c>
      <c r="G713" s="8" t="s">
        <v>3102</v>
      </c>
      <c r="H713" s="12" t="s">
        <v>194</v>
      </c>
      <c r="I713" s="8" t="s">
        <v>2213</v>
      </c>
      <c r="J713" s="8" t="s">
        <v>3316</v>
      </c>
      <c r="K713" s="8" t="s">
        <v>2215</v>
      </c>
    </row>
    <row r="714" customFormat="false" ht="24.75" hidden="false" customHeight="true" outlineLevel="0" collapsed="false">
      <c r="A714" s="12" t="s">
        <v>1985</v>
      </c>
      <c r="B714" s="8" t="s">
        <v>1989</v>
      </c>
      <c r="C714" s="8" t="s">
        <v>3310</v>
      </c>
      <c r="D714" s="12" t="s">
        <v>1983</v>
      </c>
      <c r="E714" s="8" t="s">
        <v>3100</v>
      </c>
      <c r="F714" s="8" t="s">
        <v>3313</v>
      </c>
      <c r="G714" s="8" t="s">
        <v>3102</v>
      </c>
      <c r="H714" s="12" t="s">
        <v>194</v>
      </c>
      <c r="I714" s="8" t="s">
        <v>2213</v>
      </c>
      <c r="J714" s="8" t="s">
        <v>3317</v>
      </c>
      <c r="K714" s="8" t="s">
        <v>2215</v>
      </c>
    </row>
    <row r="715" customFormat="false" ht="24.75" hidden="false" customHeight="true" outlineLevel="0" collapsed="false">
      <c r="A715" s="12" t="s">
        <v>1985</v>
      </c>
      <c r="B715" s="8" t="s">
        <v>1989</v>
      </c>
      <c r="C715" s="8" t="s">
        <v>3310</v>
      </c>
      <c r="D715" s="12" t="s">
        <v>1984</v>
      </c>
      <c r="E715" s="8" t="s">
        <v>2997</v>
      </c>
      <c r="F715" s="8" t="s">
        <v>3318</v>
      </c>
      <c r="G715" s="8" t="s">
        <v>2483</v>
      </c>
      <c r="H715" s="12" t="s">
        <v>194</v>
      </c>
      <c r="I715" s="8" t="s">
        <v>2213</v>
      </c>
      <c r="J715" s="8" t="s">
        <v>3319</v>
      </c>
      <c r="K715" s="8" t="s">
        <v>2215</v>
      </c>
    </row>
    <row r="716" customFormat="false" ht="24.75" hidden="false" customHeight="true" outlineLevel="0" collapsed="false">
      <c r="A716" s="12" t="s">
        <v>1993</v>
      </c>
      <c r="B716" s="8" t="s">
        <v>1994</v>
      </c>
      <c r="C716" s="8" t="s">
        <v>3310</v>
      </c>
      <c r="D716" s="12" t="s">
        <v>1982</v>
      </c>
      <c r="E716" s="8" t="s">
        <v>2703</v>
      </c>
      <c r="F716" s="8" t="s">
        <v>2704</v>
      </c>
      <c r="G716" s="8" t="s">
        <v>2705</v>
      </c>
      <c r="H716" s="12" t="s">
        <v>195</v>
      </c>
      <c r="I716" s="8" t="s">
        <v>2213</v>
      </c>
      <c r="J716" s="8" t="s">
        <v>3320</v>
      </c>
      <c r="K716" s="8" t="s">
        <v>2215</v>
      </c>
    </row>
    <row r="717" customFormat="false" ht="37.5" hidden="false" customHeight="true" outlineLevel="0" collapsed="false">
      <c r="A717" s="12" t="s">
        <v>1993</v>
      </c>
      <c r="B717" s="8" t="s">
        <v>1994</v>
      </c>
      <c r="C717" s="8" t="s">
        <v>3310</v>
      </c>
      <c r="D717" s="12" t="s">
        <v>1983</v>
      </c>
      <c r="E717" s="8" t="s">
        <v>3100</v>
      </c>
      <c r="F717" s="8" t="s">
        <v>3321</v>
      </c>
      <c r="G717" s="8" t="s">
        <v>3102</v>
      </c>
      <c r="H717" s="12" t="s">
        <v>194</v>
      </c>
      <c r="I717" s="8" t="s">
        <v>2213</v>
      </c>
      <c r="J717" s="8" t="s">
        <v>3322</v>
      </c>
      <c r="K717" s="8" t="s">
        <v>2215</v>
      </c>
    </row>
    <row r="718" customFormat="false" ht="24.75" hidden="false" customHeight="true" outlineLevel="0" collapsed="false">
      <c r="A718" s="12" t="s">
        <v>1993</v>
      </c>
      <c r="B718" s="8" t="s">
        <v>1994</v>
      </c>
      <c r="C718" s="8" t="s">
        <v>3310</v>
      </c>
      <c r="D718" s="12" t="s">
        <v>1983</v>
      </c>
      <c r="E718" s="8" t="s">
        <v>3100</v>
      </c>
      <c r="F718" s="8" t="s">
        <v>3313</v>
      </c>
      <c r="G718" s="8" t="s">
        <v>3102</v>
      </c>
      <c r="H718" s="12" t="s">
        <v>194</v>
      </c>
      <c r="I718" s="8" t="s">
        <v>2213</v>
      </c>
      <c r="J718" s="8" t="s">
        <v>3323</v>
      </c>
      <c r="K718" s="8" t="s">
        <v>2215</v>
      </c>
    </row>
    <row r="719" customFormat="false" ht="24.75" hidden="false" customHeight="true" outlineLevel="0" collapsed="false">
      <c r="A719" s="12" t="s">
        <v>1993</v>
      </c>
      <c r="B719" s="8" t="s">
        <v>1994</v>
      </c>
      <c r="C719" s="8" t="s">
        <v>3310</v>
      </c>
      <c r="D719" s="12" t="s">
        <v>1983</v>
      </c>
      <c r="E719" s="8" t="s">
        <v>3100</v>
      </c>
      <c r="F719" s="8" t="s">
        <v>3321</v>
      </c>
      <c r="G719" s="8" t="s">
        <v>3102</v>
      </c>
      <c r="H719" s="12" t="s">
        <v>194</v>
      </c>
      <c r="I719" s="8" t="s">
        <v>2213</v>
      </c>
      <c r="J719" s="8" t="s">
        <v>3324</v>
      </c>
      <c r="K719" s="8" t="s">
        <v>2215</v>
      </c>
    </row>
    <row r="720" customFormat="false" ht="24.75" hidden="false" customHeight="true" outlineLevel="0" collapsed="false">
      <c r="A720" s="12" t="s">
        <v>1997</v>
      </c>
      <c r="B720" s="8" t="s">
        <v>1998</v>
      </c>
      <c r="C720" s="8" t="s">
        <v>3310</v>
      </c>
      <c r="D720" s="12" t="s">
        <v>1982</v>
      </c>
      <c r="E720" s="8" t="s">
        <v>2703</v>
      </c>
      <c r="F720" s="8" t="s">
        <v>2704</v>
      </c>
      <c r="G720" s="8" t="s">
        <v>2705</v>
      </c>
      <c r="H720" s="12" t="s">
        <v>195</v>
      </c>
      <c r="I720" s="8" t="s">
        <v>2213</v>
      </c>
      <c r="J720" s="8" t="s">
        <v>3325</v>
      </c>
      <c r="K720" s="8" t="s">
        <v>2215</v>
      </c>
    </row>
    <row r="721" customFormat="false" ht="24.75" hidden="false" customHeight="true" outlineLevel="0" collapsed="false">
      <c r="A721" s="12" t="s">
        <v>1997</v>
      </c>
      <c r="B721" s="8" t="s">
        <v>1998</v>
      </c>
      <c r="C721" s="8" t="s">
        <v>3310</v>
      </c>
      <c r="D721" s="12" t="s">
        <v>1983</v>
      </c>
      <c r="E721" s="8" t="s">
        <v>3100</v>
      </c>
      <c r="F721" s="8" t="s">
        <v>3313</v>
      </c>
      <c r="G721" s="8" t="s">
        <v>3102</v>
      </c>
      <c r="H721" s="12" t="s">
        <v>194</v>
      </c>
      <c r="I721" s="8" t="s">
        <v>2213</v>
      </c>
      <c r="J721" s="8" t="s">
        <v>3326</v>
      </c>
      <c r="K721" s="8" t="s">
        <v>2215</v>
      </c>
    </row>
    <row r="722" customFormat="false" ht="24.75" hidden="false" customHeight="true" outlineLevel="0" collapsed="false">
      <c r="A722" s="12" t="s">
        <v>1997</v>
      </c>
      <c r="B722" s="8" t="s">
        <v>1998</v>
      </c>
      <c r="C722" s="8" t="s">
        <v>3310</v>
      </c>
      <c r="D722" s="12" t="s">
        <v>1983</v>
      </c>
      <c r="E722" s="8" t="s">
        <v>3100</v>
      </c>
      <c r="F722" s="8" t="s">
        <v>3327</v>
      </c>
      <c r="G722" s="8" t="s">
        <v>3102</v>
      </c>
      <c r="H722" s="12" t="s">
        <v>194</v>
      </c>
      <c r="I722" s="8" t="s">
        <v>2213</v>
      </c>
      <c r="J722" s="8" t="s">
        <v>3328</v>
      </c>
      <c r="K722" s="8" t="s">
        <v>2215</v>
      </c>
    </row>
    <row r="723" customFormat="false" ht="24.75" hidden="false" customHeight="true" outlineLevel="0" collapsed="false">
      <c r="A723" s="12" t="s">
        <v>1997</v>
      </c>
      <c r="B723" s="8" t="s">
        <v>1998</v>
      </c>
      <c r="C723" s="8" t="s">
        <v>3310</v>
      </c>
      <c r="D723" s="12" t="s">
        <v>1983</v>
      </c>
      <c r="E723" s="8" t="s">
        <v>3100</v>
      </c>
      <c r="F723" s="8" t="s">
        <v>3329</v>
      </c>
      <c r="G723" s="8" t="s">
        <v>3172</v>
      </c>
      <c r="H723" s="12" t="s">
        <v>810</v>
      </c>
      <c r="I723" s="8" t="s">
        <v>2213</v>
      </c>
      <c r="J723" s="8" t="s">
        <v>3330</v>
      </c>
      <c r="K723" s="8" t="s">
        <v>2215</v>
      </c>
    </row>
    <row r="724" customFormat="false" ht="24.75" hidden="false" customHeight="true" outlineLevel="0" collapsed="false">
      <c r="A724" s="12" t="s">
        <v>2001</v>
      </c>
      <c r="B724" s="8" t="s">
        <v>2003</v>
      </c>
      <c r="C724" s="8" t="s">
        <v>3310</v>
      </c>
      <c r="D724" s="12" t="s">
        <v>1982</v>
      </c>
      <c r="E724" s="8" t="s">
        <v>2703</v>
      </c>
      <c r="F724" s="8" t="s">
        <v>2704</v>
      </c>
      <c r="G724" s="8" t="s">
        <v>2705</v>
      </c>
      <c r="H724" s="12" t="s">
        <v>195</v>
      </c>
      <c r="I724" s="8" t="s">
        <v>2213</v>
      </c>
      <c r="J724" s="8" t="s">
        <v>3127</v>
      </c>
      <c r="K724" s="8" t="s">
        <v>2215</v>
      </c>
    </row>
    <row r="725" customFormat="false" ht="24.75" hidden="false" customHeight="true" outlineLevel="0" collapsed="false">
      <c r="A725" s="12" t="s">
        <v>2001</v>
      </c>
      <c r="B725" s="8" t="s">
        <v>2003</v>
      </c>
      <c r="C725" s="8" t="s">
        <v>3310</v>
      </c>
      <c r="D725" s="12" t="s">
        <v>1983</v>
      </c>
      <c r="E725" s="8" t="s">
        <v>3100</v>
      </c>
      <c r="F725" s="8" t="s">
        <v>3313</v>
      </c>
      <c r="G725" s="8" t="s">
        <v>3102</v>
      </c>
      <c r="H725" s="12" t="s">
        <v>194</v>
      </c>
      <c r="I725" s="8" t="s">
        <v>2213</v>
      </c>
      <c r="J725" s="8" t="s">
        <v>3331</v>
      </c>
      <c r="K725" s="8" t="s">
        <v>2215</v>
      </c>
    </row>
    <row r="726" customFormat="false" ht="24.75" hidden="false" customHeight="true" outlineLevel="0" collapsed="false">
      <c r="A726" s="12" t="s">
        <v>2001</v>
      </c>
      <c r="B726" s="8" t="s">
        <v>2003</v>
      </c>
      <c r="C726" s="8" t="s">
        <v>3310</v>
      </c>
      <c r="D726" s="12" t="s">
        <v>1983</v>
      </c>
      <c r="E726" s="8" t="s">
        <v>3100</v>
      </c>
      <c r="F726" s="8" t="s">
        <v>3332</v>
      </c>
      <c r="G726" s="8" t="s">
        <v>3172</v>
      </c>
      <c r="H726" s="12" t="s">
        <v>810</v>
      </c>
      <c r="I726" s="8" t="s">
        <v>2213</v>
      </c>
      <c r="J726" s="8" t="s">
        <v>3333</v>
      </c>
      <c r="K726" s="8" t="s">
        <v>2215</v>
      </c>
    </row>
    <row r="727" customFormat="false" ht="24.75" hidden="false" customHeight="true" outlineLevel="0" collapsed="false">
      <c r="A727" s="12" t="s">
        <v>2001</v>
      </c>
      <c r="B727" s="8" t="s">
        <v>2003</v>
      </c>
      <c r="C727" s="8" t="s">
        <v>3310</v>
      </c>
      <c r="D727" s="12" t="s">
        <v>1983</v>
      </c>
      <c r="E727" s="8" t="s">
        <v>3100</v>
      </c>
      <c r="F727" s="8" t="s">
        <v>3329</v>
      </c>
      <c r="G727" s="8" t="s">
        <v>3172</v>
      </c>
      <c r="H727" s="12" t="s">
        <v>810</v>
      </c>
      <c r="I727" s="8" t="s">
        <v>2213</v>
      </c>
      <c r="J727" s="8" t="s">
        <v>3334</v>
      </c>
      <c r="K727" s="8" t="s">
        <v>2215</v>
      </c>
    </row>
    <row r="728" customFormat="false" ht="24.75" hidden="false" customHeight="true" outlineLevel="0" collapsed="false">
      <c r="A728" s="12" t="s">
        <v>2001</v>
      </c>
      <c r="B728" s="8" t="s">
        <v>2003</v>
      </c>
      <c r="C728" s="8" t="s">
        <v>3310</v>
      </c>
      <c r="D728" s="12" t="s">
        <v>1983</v>
      </c>
      <c r="E728" s="8" t="s">
        <v>3100</v>
      </c>
      <c r="F728" s="8" t="s">
        <v>3335</v>
      </c>
      <c r="G728" s="8" t="s">
        <v>3172</v>
      </c>
      <c r="H728" s="12" t="s">
        <v>810</v>
      </c>
      <c r="I728" s="8" t="s">
        <v>2213</v>
      </c>
      <c r="J728" s="8" t="s">
        <v>3336</v>
      </c>
      <c r="K728" s="8" t="s">
        <v>2215</v>
      </c>
    </row>
    <row r="729" customFormat="false" ht="24.75" hidden="false" customHeight="true" outlineLevel="0" collapsed="false">
      <c r="A729" s="12" t="s">
        <v>2001</v>
      </c>
      <c r="B729" s="8" t="s">
        <v>2003</v>
      </c>
      <c r="C729" s="8" t="s">
        <v>3310</v>
      </c>
      <c r="D729" s="12" t="s">
        <v>1983</v>
      </c>
      <c r="E729" s="8" t="s">
        <v>3100</v>
      </c>
      <c r="F729" s="8" t="s">
        <v>3332</v>
      </c>
      <c r="G729" s="8" t="s">
        <v>3172</v>
      </c>
      <c r="H729" s="12" t="s">
        <v>810</v>
      </c>
      <c r="I729" s="8" t="s">
        <v>2213</v>
      </c>
      <c r="J729" s="8" t="s">
        <v>3337</v>
      </c>
      <c r="K729" s="8" t="s">
        <v>2215</v>
      </c>
    </row>
    <row r="730" customFormat="false" ht="24.75" hidden="false" customHeight="true" outlineLevel="0" collapsed="false">
      <c r="A730" s="12" t="s">
        <v>2007</v>
      </c>
      <c r="B730" s="8" t="s">
        <v>2008</v>
      </c>
      <c r="C730" s="8" t="s">
        <v>3310</v>
      </c>
      <c r="D730" s="12" t="s">
        <v>1983</v>
      </c>
      <c r="E730" s="8" t="s">
        <v>3100</v>
      </c>
      <c r="F730" s="8" t="s">
        <v>3321</v>
      </c>
      <c r="G730" s="8" t="s">
        <v>3102</v>
      </c>
      <c r="H730" s="12" t="s">
        <v>194</v>
      </c>
      <c r="I730" s="8" t="s">
        <v>2213</v>
      </c>
      <c r="J730" s="8" t="s">
        <v>3338</v>
      </c>
      <c r="K730" s="8" t="s">
        <v>2215</v>
      </c>
    </row>
    <row r="731" customFormat="false" ht="24.75" hidden="false" customHeight="true" outlineLevel="0" collapsed="false">
      <c r="A731" s="12" t="s">
        <v>2007</v>
      </c>
      <c r="B731" s="8" t="s">
        <v>2008</v>
      </c>
      <c r="C731" s="8" t="s">
        <v>3310</v>
      </c>
      <c r="D731" s="12" t="s">
        <v>1983</v>
      </c>
      <c r="E731" s="8" t="s">
        <v>3100</v>
      </c>
      <c r="F731" s="8" t="s">
        <v>3327</v>
      </c>
      <c r="G731" s="8" t="s">
        <v>3102</v>
      </c>
      <c r="H731" s="12" t="s">
        <v>194</v>
      </c>
      <c r="I731" s="8" t="s">
        <v>2213</v>
      </c>
      <c r="J731" s="8" t="s">
        <v>3339</v>
      </c>
      <c r="K731" s="8" t="s">
        <v>2215</v>
      </c>
    </row>
    <row r="732" customFormat="false" ht="24.75" hidden="false" customHeight="true" outlineLevel="0" collapsed="false">
      <c r="A732" s="12" t="s">
        <v>2011</v>
      </c>
      <c r="B732" s="8" t="s">
        <v>2012</v>
      </c>
      <c r="C732" s="8" t="s">
        <v>3310</v>
      </c>
      <c r="D732" s="12" t="s">
        <v>1983</v>
      </c>
      <c r="E732" s="8" t="s">
        <v>3100</v>
      </c>
      <c r="F732" s="8" t="s">
        <v>3313</v>
      </c>
      <c r="G732" s="8" t="s">
        <v>3102</v>
      </c>
      <c r="H732" s="12" t="s">
        <v>194</v>
      </c>
      <c r="I732" s="8" t="s">
        <v>2213</v>
      </c>
      <c r="J732" s="8" t="s">
        <v>3340</v>
      </c>
      <c r="K732" s="8" t="s">
        <v>2215</v>
      </c>
    </row>
    <row r="733" customFormat="false" ht="24.75" hidden="false" customHeight="true" outlineLevel="0" collapsed="false">
      <c r="A733" s="12" t="s">
        <v>2011</v>
      </c>
      <c r="B733" s="8" t="s">
        <v>2012</v>
      </c>
      <c r="C733" s="8" t="s">
        <v>3310</v>
      </c>
      <c r="D733" s="12" t="s">
        <v>1983</v>
      </c>
      <c r="E733" s="8" t="s">
        <v>3100</v>
      </c>
      <c r="F733" s="8" t="s">
        <v>3329</v>
      </c>
      <c r="G733" s="8" t="s">
        <v>3172</v>
      </c>
      <c r="H733" s="12" t="s">
        <v>810</v>
      </c>
      <c r="I733" s="8" t="s">
        <v>2213</v>
      </c>
      <c r="J733" s="8" t="s">
        <v>3341</v>
      </c>
      <c r="K733" s="8" t="s">
        <v>2215</v>
      </c>
    </row>
    <row r="734" customFormat="false" ht="24.75" hidden="false" customHeight="true" outlineLevel="0" collapsed="false">
      <c r="A734" s="12" t="s">
        <v>2011</v>
      </c>
      <c r="B734" s="8" t="s">
        <v>2012</v>
      </c>
      <c r="C734" s="8" t="s">
        <v>3310</v>
      </c>
      <c r="D734" s="12" t="s">
        <v>1983</v>
      </c>
      <c r="E734" s="8" t="s">
        <v>3100</v>
      </c>
      <c r="F734" s="8" t="s">
        <v>3329</v>
      </c>
      <c r="G734" s="8" t="s">
        <v>3172</v>
      </c>
      <c r="H734" s="12" t="s">
        <v>810</v>
      </c>
      <c r="I734" s="8" t="s">
        <v>2213</v>
      </c>
      <c r="J734" s="8" t="s">
        <v>3342</v>
      </c>
      <c r="K734" s="8" t="s">
        <v>2215</v>
      </c>
    </row>
    <row r="735" customFormat="false" ht="24.75" hidden="false" customHeight="true" outlineLevel="0" collapsed="false">
      <c r="A735" s="12" t="s">
        <v>2015</v>
      </c>
      <c r="B735" s="8" t="s">
        <v>2016</v>
      </c>
      <c r="C735" s="8" t="s">
        <v>3310</v>
      </c>
      <c r="D735" s="12" t="s">
        <v>1983</v>
      </c>
      <c r="E735" s="8" t="s">
        <v>3100</v>
      </c>
      <c r="F735" s="8" t="s">
        <v>3335</v>
      </c>
      <c r="G735" s="8" t="s">
        <v>3172</v>
      </c>
      <c r="H735" s="12" t="s">
        <v>810</v>
      </c>
      <c r="I735" s="8" t="s">
        <v>2213</v>
      </c>
      <c r="J735" s="8" t="s">
        <v>3343</v>
      </c>
      <c r="K735" s="8" t="s">
        <v>2215</v>
      </c>
    </row>
    <row r="736" customFormat="false" ht="24.75" hidden="false" customHeight="true" outlineLevel="0" collapsed="false">
      <c r="A736" s="12" t="s">
        <v>2015</v>
      </c>
      <c r="B736" s="8" t="s">
        <v>2016</v>
      </c>
      <c r="C736" s="8" t="s">
        <v>3310</v>
      </c>
      <c r="D736" s="12" t="s">
        <v>1983</v>
      </c>
      <c r="E736" s="8" t="s">
        <v>3100</v>
      </c>
      <c r="F736" s="8" t="s">
        <v>3329</v>
      </c>
      <c r="G736" s="8" t="s">
        <v>3172</v>
      </c>
      <c r="H736" s="12" t="s">
        <v>810</v>
      </c>
      <c r="I736" s="8" t="s">
        <v>2213</v>
      </c>
      <c r="J736" s="8" t="s">
        <v>3344</v>
      </c>
      <c r="K736" s="8" t="s">
        <v>2215</v>
      </c>
    </row>
    <row r="737" customFormat="false" ht="24.75" hidden="false" customHeight="true" outlineLevel="0" collapsed="false">
      <c r="A737" s="12" t="s">
        <v>2015</v>
      </c>
      <c r="B737" s="8" t="s">
        <v>2016</v>
      </c>
      <c r="C737" s="8" t="s">
        <v>3310</v>
      </c>
      <c r="D737" s="12" t="s">
        <v>1983</v>
      </c>
      <c r="E737" s="8" t="s">
        <v>3100</v>
      </c>
      <c r="F737" s="8" t="s">
        <v>3329</v>
      </c>
      <c r="G737" s="8" t="s">
        <v>3172</v>
      </c>
      <c r="H737" s="12" t="s">
        <v>810</v>
      </c>
      <c r="I737" s="8" t="s">
        <v>2213</v>
      </c>
      <c r="J737" s="8" t="s">
        <v>3345</v>
      </c>
      <c r="K737" s="8" t="s">
        <v>2215</v>
      </c>
    </row>
    <row r="738" customFormat="false" ht="24.75" hidden="false" customHeight="true" outlineLevel="0" collapsed="false">
      <c r="A738" s="12" t="s">
        <v>2019</v>
      </c>
      <c r="B738" s="8" t="s">
        <v>2020</v>
      </c>
      <c r="C738" s="8" t="s">
        <v>3310</v>
      </c>
      <c r="D738" s="12" t="s">
        <v>1983</v>
      </c>
      <c r="E738" s="8" t="s">
        <v>3100</v>
      </c>
      <c r="F738" s="8" t="s">
        <v>3335</v>
      </c>
      <c r="G738" s="8" t="s">
        <v>3172</v>
      </c>
      <c r="H738" s="12" t="s">
        <v>810</v>
      </c>
      <c r="I738" s="8" t="s">
        <v>2213</v>
      </c>
      <c r="J738" s="8" t="s">
        <v>3346</v>
      </c>
      <c r="K738" s="8" t="s">
        <v>2215</v>
      </c>
    </row>
    <row r="739" customFormat="false" ht="24.75" hidden="false" customHeight="true" outlineLevel="0" collapsed="false">
      <c r="A739" s="12" t="s">
        <v>2019</v>
      </c>
      <c r="B739" s="8" t="s">
        <v>2020</v>
      </c>
      <c r="C739" s="8" t="s">
        <v>3310</v>
      </c>
      <c r="D739" s="12" t="s">
        <v>1983</v>
      </c>
      <c r="E739" s="8" t="s">
        <v>3100</v>
      </c>
      <c r="F739" s="8" t="s">
        <v>3329</v>
      </c>
      <c r="G739" s="8" t="s">
        <v>3172</v>
      </c>
      <c r="H739" s="12" t="s">
        <v>810</v>
      </c>
      <c r="I739" s="8" t="s">
        <v>2213</v>
      </c>
      <c r="J739" s="8" t="s">
        <v>3347</v>
      </c>
      <c r="K739" s="8" t="s">
        <v>2215</v>
      </c>
    </row>
    <row r="740" customFormat="false" ht="24.75" hidden="false" customHeight="true" outlineLevel="0" collapsed="false">
      <c r="A740" s="12" t="s">
        <v>2023</v>
      </c>
      <c r="B740" s="8" t="s">
        <v>2024</v>
      </c>
      <c r="C740" s="8" t="s">
        <v>3310</v>
      </c>
      <c r="D740" s="12" t="s">
        <v>1983</v>
      </c>
      <c r="E740" s="8" t="s">
        <v>3100</v>
      </c>
      <c r="F740" s="8" t="s">
        <v>3321</v>
      </c>
      <c r="G740" s="8" t="s">
        <v>3102</v>
      </c>
      <c r="H740" s="12" t="s">
        <v>194</v>
      </c>
      <c r="I740" s="8" t="s">
        <v>2213</v>
      </c>
      <c r="J740" s="8" t="s">
        <v>3348</v>
      </c>
      <c r="K740" s="8" t="s">
        <v>2215</v>
      </c>
    </row>
    <row r="741" customFormat="false" ht="24.75" hidden="false" customHeight="true" outlineLevel="0" collapsed="false">
      <c r="A741" s="12" t="s">
        <v>2023</v>
      </c>
      <c r="B741" s="8" t="s">
        <v>2024</v>
      </c>
      <c r="C741" s="8" t="s">
        <v>3310</v>
      </c>
      <c r="D741" s="12" t="s">
        <v>1983</v>
      </c>
      <c r="E741" s="8" t="s">
        <v>3100</v>
      </c>
      <c r="F741" s="8" t="s">
        <v>3349</v>
      </c>
      <c r="G741" s="8" t="s">
        <v>3102</v>
      </c>
      <c r="H741" s="12" t="s">
        <v>194</v>
      </c>
      <c r="I741" s="8" t="s">
        <v>2213</v>
      </c>
      <c r="J741" s="8" t="s">
        <v>3350</v>
      </c>
      <c r="K741" s="8" t="s">
        <v>2215</v>
      </c>
    </row>
    <row r="742" customFormat="false" ht="24.75" hidden="false" customHeight="true" outlineLevel="0" collapsed="false">
      <c r="A742" s="12" t="s">
        <v>2023</v>
      </c>
      <c r="B742" s="8" t="s">
        <v>2024</v>
      </c>
      <c r="C742" s="8" t="s">
        <v>3310</v>
      </c>
      <c r="D742" s="12" t="s">
        <v>1983</v>
      </c>
      <c r="E742" s="8" t="s">
        <v>3100</v>
      </c>
      <c r="F742" s="8" t="s">
        <v>3349</v>
      </c>
      <c r="G742" s="8" t="s">
        <v>3102</v>
      </c>
      <c r="H742" s="12" t="s">
        <v>194</v>
      </c>
      <c r="I742" s="8" t="s">
        <v>2213</v>
      </c>
      <c r="J742" s="8" t="s">
        <v>3351</v>
      </c>
      <c r="K742" s="8" t="s">
        <v>2215</v>
      </c>
    </row>
    <row r="743" customFormat="false" ht="24.75" hidden="false" customHeight="true" outlineLevel="0" collapsed="false">
      <c r="A743" s="12" t="s">
        <v>2027</v>
      </c>
      <c r="B743" s="8" t="s">
        <v>2028</v>
      </c>
      <c r="C743" s="8" t="s">
        <v>3310</v>
      </c>
      <c r="D743" s="12" t="s">
        <v>1983</v>
      </c>
      <c r="E743" s="8" t="s">
        <v>3100</v>
      </c>
      <c r="F743" s="8" t="s">
        <v>3321</v>
      </c>
      <c r="G743" s="8" t="s">
        <v>3102</v>
      </c>
      <c r="H743" s="12" t="s">
        <v>194</v>
      </c>
      <c r="I743" s="8" t="s">
        <v>2213</v>
      </c>
      <c r="J743" s="8" t="s">
        <v>3352</v>
      </c>
      <c r="K743" s="8" t="s">
        <v>2215</v>
      </c>
    </row>
    <row r="744" customFormat="false" ht="37.5" hidden="false" customHeight="true" outlineLevel="0" collapsed="false">
      <c r="A744" s="12" t="s">
        <v>2027</v>
      </c>
      <c r="B744" s="8" t="s">
        <v>2028</v>
      </c>
      <c r="C744" s="8" t="s">
        <v>3310</v>
      </c>
      <c r="D744" s="12" t="s">
        <v>1983</v>
      </c>
      <c r="E744" s="8" t="s">
        <v>3100</v>
      </c>
      <c r="F744" s="8" t="s">
        <v>3349</v>
      </c>
      <c r="G744" s="8" t="s">
        <v>3102</v>
      </c>
      <c r="H744" s="12" t="s">
        <v>194</v>
      </c>
      <c r="I744" s="8" t="s">
        <v>2213</v>
      </c>
      <c r="J744" s="8" t="s">
        <v>3353</v>
      </c>
      <c r="K744" s="8" t="s">
        <v>2215</v>
      </c>
    </row>
    <row r="745" customFormat="false" ht="24.75" hidden="false" customHeight="true" outlineLevel="0" collapsed="false">
      <c r="A745" s="12" t="s">
        <v>2027</v>
      </c>
      <c r="B745" s="8" t="s">
        <v>2028</v>
      </c>
      <c r="C745" s="8" t="s">
        <v>3310</v>
      </c>
      <c r="D745" s="12" t="s">
        <v>1983</v>
      </c>
      <c r="E745" s="8" t="s">
        <v>3100</v>
      </c>
      <c r="F745" s="8" t="s">
        <v>3354</v>
      </c>
      <c r="G745" s="8" t="s">
        <v>3172</v>
      </c>
      <c r="H745" s="12" t="s">
        <v>810</v>
      </c>
      <c r="I745" s="8" t="s">
        <v>2213</v>
      </c>
      <c r="J745" s="8" t="s">
        <v>3355</v>
      </c>
      <c r="K745" s="8" t="s">
        <v>2215</v>
      </c>
    </row>
    <row r="746" customFormat="false" ht="24.75" hidden="false" customHeight="true" outlineLevel="0" collapsed="false">
      <c r="A746" s="12" t="s">
        <v>2032</v>
      </c>
      <c r="B746" s="8" t="s">
        <v>2033</v>
      </c>
      <c r="C746" s="8" t="s">
        <v>3310</v>
      </c>
      <c r="D746" s="12" t="s">
        <v>1983</v>
      </c>
      <c r="E746" s="8" t="s">
        <v>3100</v>
      </c>
      <c r="F746" s="8" t="s">
        <v>3313</v>
      </c>
      <c r="G746" s="8" t="s">
        <v>3102</v>
      </c>
      <c r="H746" s="12" t="s">
        <v>194</v>
      </c>
      <c r="I746" s="8" t="s">
        <v>2213</v>
      </c>
      <c r="J746" s="8" t="s">
        <v>3356</v>
      </c>
      <c r="K746" s="8" t="s">
        <v>2215</v>
      </c>
    </row>
    <row r="747" customFormat="false" ht="24.75" hidden="false" customHeight="true" outlineLevel="0" collapsed="false">
      <c r="A747" s="12" t="s">
        <v>2036</v>
      </c>
      <c r="B747" s="8" t="s">
        <v>2038</v>
      </c>
      <c r="C747" s="8" t="s">
        <v>3310</v>
      </c>
      <c r="D747" s="12" t="s">
        <v>173</v>
      </c>
      <c r="E747" s="8" t="s">
        <v>2260</v>
      </c>
      <c r="F747" s="8" t="s">
        <v>2832</v>
      </c>
      <c r="G747" s="8" t="s">
        <v>2262</v>
      </c>
      <c r="H747" s="12" t="s">
        <v>194</v>
      </c>
      <c r="I747" s="8" t="s">
        <v>2213</v>
      </c>
      <c r="J747" s="8" t="s">
        <v>2833</v>
      </c>
      <c r="K747" s="8" t="s">
        <v>2215</v>
      </c>
    </row>
    <row r="748" customFormat="false" ht="24.75" hidden="false" customHeight="true" outlineLevel="0" collapsed="false">
      <c r="A748" s="12" t="s">
        <v>2036</v>
      </c>
      <c r="B748" s="8" t="s">
        <v>2038</v>
      </c>
      <c r="C748" s="8" t="s">
        <v>3310</v>
      </c>
      <c r="D748" s="12" t="s">
        <v>1982</v>
      </c>
      <c r="E748" s="8" t="s">
        <v>2703</v>
      </c>
      <c r="F748" s="8" t="s">
        <v>2704</v>
      </c>
      <c r="G748" s="8" t="s">
        <v>2705</v>
      </c>
      <c r="H748" s="12" t="s">
        <v>195</v>
      </c>
      <c r="I748" s="8" t="s">
        <v>2213</v>
      </c>
      <c r="J748" s="8" t="s">
        <v>3357</v>
      </c>
      <c r="K748" s="8" t="s">
        <v>2215</v>
      </c>
    </row>
    <row r="749" customFormat="false" ht="24.75" hidden="false" customHeight="true" outlineLevel="0" collapsed="false">
      <c r="A749" s="12" t="s">
        <v>2036</v>
      </c>
      <c r="B749" s="8" t="s">
        <v>2038</v>
      </c>
      <c r="C749" s="8" t="s">
        <v>3310</v>
      </c>
      <c r="D749" s="12" t="s">
        <v>1983</v>
      </c>
      <c r="E749" s="8" t="s">
        <v>3100</v>
      </c>
      <c r="F749" s="8" t="s">
        <v>3321</v>
      </c>
      <c r="G749" s="8" t="s">
        <v>3102</v>
      </c>
      <c r="H749" s="12" t="s">
        <v>194</v>
      </c>
      <c r="I749" s="8" t="s">
        <v>2213</v>
      </c>
      <c r="J749" s="8" t="s">
        <v>3358</v>
      </c>
      <c r="K749" s="8" t="s">
        <v>2215</v>
      </c>
    </row>
    <row r="750" customFormat="false" ht="24.75" hidden="false" customHeight="true" outlineLevel="0" collapsed="false">
      <c r="A750" s="12" t="s">
        <v>2036</v>
      </c>
      <c r="B750" s="8" t="s">
        <v>2038</v>
      </c>
      <c r="C750" s="8" t="s">
        <v>3310</v>
      </c>
      <c r="D750" s="12" t="s">
        <v>1983</v>
      </c>
      <c r="E750" s="8" t="s">
        <v>3100</v>
      </c>
      <c r="F750" s="8" t="s">
        <v>3327</v>
      </c>
      <c r="G750" s="8" t="s">
        <v>3102</v>
      </c>
      <c r="H750" s="12" t="s">
        <v>194</v>
      </c>
      <c r="I750" s="8" t="s">
        <v>2213</v>
      </c>
      <c r="J750" s="8" t="s">
        <v>3359</v>
      </c>
      <c r="K750" s="8" t="s">
        <v>2215</v>
      </c>
    </row>
    <row r="751" customFormat="false" ht="24.75" hidden="false" customHeight="true" outlineLevel="0" collapsed="false">
      <c r="A751" s="12" t="s">
        <v>2036</v>
      </c>
      <c r="B751" s="8" t="s">
        <v>2038</v>
      </c>
      <c r="C751" s="8" t="s">
        <v>3310</v>
      </c>
      <c r="D751" s="12" t="s">
        <v>1983</v>
      </c>
      <c r="E751" s="8" t="s">
        <v>3100</v>
      </c>
      <c r="F751" s="8" t="s">
        <v>3327</v>
      </c>
      <c r="G751" s="8" t="s">
        <v>3102</v>
      </c>
      <c r="H751" s="12" t="s">
        <v>194</v>
      </c>
      <c r="I751" s="8" t="s">
        <v>2213</v>
      </c>
      <c r="J751" s="8" t="s">
        <v>3360</v>
      </c>
      <c r="K751" s="8" t="s">
        <v>2215</v>
      </c>
    </row>
    <row r="752" customFormat="false" ht="24.75" hidden="false" customHeight="true" outlineLevel="0" collapsed="false">
      <c r="A752" s="12" t="s">
        <v>2036</v>
      </c>
      <c r="B752" s="8" t="s">
        <v>2038</v>
      </c>
      <c r="C752" s="8" t="s">
        <v>3310</v>
      </c>
      <c r="D752" s="12" t="s">
        <v>1983</v>
      </c>
      <c r="E752" s="8" t="s">
        <v>3100</v>
      </c>
      <c r="F752" s="8" t="s">
        <v>3327</v>
      </c>
      <c r="G752" s="8" t="s">
        <v>3102</v>
      </c>
      <c r="H752" s="12" t="s">
        <v>194</v>
      </c>
      <c r="I752" s="8" t="s">
        <v>2213</v>
      </c>
      <c r="J752" s="8" t="s">
        <v>3361</v>
      </c>
      <c r="K752" s="8" t="s">
        <v>2215</v>
      </c>
    </row>
    <row r="753" customFormat="false" ht="24.75" hidden="false" customHeight="true" outlineLevel="0" collapsed="false">
      <c r="A753" s="12" t="s">
        <v>2041</v>
      </c>
      <c r="B753" s="8" t="s">
        <v>2042</v>
      </c>
      <c r="C753" s="8" t="s">
        <v>3310</v>
      </c>
      <c r="D753" s="12" t="s">
        <v>173</v>
      </c>
      <c r="E753" s="8" t="s">
        <v>2260</v>
      </c>
      <c r="F753" s="8" t="s">
        <v>2779</v>
      </c>
      <c r="G753" s="8" t="s">
        <v>2262</v>
      </c>
      <c r="H753" s="12" t="s">
        <v>194</v>
      </c>
      <c r="I753" s="8" t="s">
        <v>2213</v>
      </c>
      <c r="J753" s="8" t="s">
        <v>2780</v>
      </c>
      <c r="K753" s="8" t="s">
        <v>2215</v>
      </c>
    </row>
    <row r="754" customFormat="false" ht="24.75" hidden="false" customHeight="true" outlineLevel="0" collapsed="false">
      <c r="A754" s="12" t="s">
        <v>2041</v>
      </c>
      <c r="B754" s="8" t="s">
        <v>2042</v>
      </c>
      <c r="C754" s="8" t="s">
        <v>3310</v>
      </c>
      <c r="D754" s="12" t="s">
        <v>1981</v>
      </c>
      <c r="E754" s="8" t="s">
        <v>2939</v>
      </c>
      <c r="F754" s="8" t="s">
        <v>2940</v>
      </c>
      <c r="G754" s="8" t="s">
        <v>2941</v>
      </c>
      <c r="H754" s="12" t="s">
        <v>195</v>
      </c>
      <c r="I754" s="8" t="s">
        <v>2213</v>
      </c>
      <c r="J754" s="8" t="s">
        <v>3362</v>
      </c>
      <c r="K754" s="8" t="s">
        <v>2215</v>
      </c>
    </row>
    <row r="755" customFormat="false" ht="24.75" hidden="false" customHeight="true" outlineLevel="0" collapsed="false">
      <c r="A755" s="12" t="s">
        <v>2041</v>
      </c>
      <c r="B755" s="8" t="s">
        <v>2042</v>
      </c>
      <c r="C755" s="8" t="s">
        <v>3310</v>
      </c>
      <c r="D755" s="12" t="s">
        <v>1983</v>
      </c>
      <c r="E755" s="8" t="s">
        <v>3100</v>
      </c>
      <c r="F755" s="8" t="s">
        <v>3327</v>
      </c>
      <c r="G755" s="8" t="s">
        <v>3102</v>
      </c>
      <c r="H755" s="12" t="s">
        <v>194</v>
      </c>
      <c r="I755" s="8" t="s">
        <v>2213</v>
      </c>
      <c r="J755" s="8" t="s">
        <v>3363</v>
      </c>
      <c r="K755" s="8" t="s">
        <v>2215</v>
      </c>
    </row>
    <row r="756" customFormat="false" ht="24.75" hidden="false" customHeight="true" outlineLevel="0" collapsed="false">
      <c r="A756" s="12" t="s">
        <v>2041</v>
      </c>
      <c r="B756" s="8" t="s">
        <v>2042</v>
      </c>
      <c r="C756" s="8" t="s">
        <v>3310</v>
      </c>
      <c r="D756" s="12" t="s">
        <v>1984</v>
      </c>
      <c r="E756" s="8" t="s">
        <v>2997</v>
      </c>
      <c r="F756" s="8" t="s">
        <v>3364</v>
      </c>
      <c r="G756" s="8" t="s">
        <v>2483</v>
      </c>
      <c r="H756" s="12" t="s">
        <v>194</v>
      </c>
      <c r="I756" s="8" t="s">
        <v>2213</v>
      </c>
      <c r="J756" s="8" t="s">
        <v>3365</v>
      </c>
      <c r="K756" s="8" t="s">
        <v>2215</v>
      </c>
    </row>
    <row r="757" customFormat="false" ht="37.5" hidden="false" customHeight="true" outlineLevel="0" collapsed="false">
      <c r="A757" s="12" t="s">
        <v>2045</v>
      </c>
      <c r="B757" s="8" t="s">
        <v>2046</v>
      </c>
      <c r="C757" s="8" t="s">
        <v>3310</v>
      </c>
      <c r="D757" s="12" t="s">
        <v>1983</v>
      </c>
      <c r="E757" s="8" t="s">
        <v>3100</v>
      </c>
      <c r="F757" s="8" t="s">
        <v>3329</v>
      </c>
      <c r="G757" s="8" t="s">
        <v>3172</v>
      </c>
      <c r="H757" s="12" t="s">
        <v>810</v>
      </c>
      <c r="I757" s="8" t="s">
        <v>2213</v>
      </c>
      <c r="J757" s="8" t="s">
        <v>3366</v>
      </c>
      <c r="K757" s="8" t="s">
        <v>2215</v>
      </c>
    </row>
    <row r="758" customFormat="false" ht="24.75" hidden="false" customHeight="true" outlineLevel="0" collapsed="false">
      <c r="A758" s="12" t="s">
        <v>2049</v>
      </c>
      <c r="B758" s="8" t="s">
        <v>2050</v>
      </c>
      <c r="C758" s="8" t="s">
        <v>3310</v>
      </c>
      <c r="D758" s="12" t="s">
        <v>1983</v>
      </c>
      <c r="E758" s="8" t="s">
        <v>3100</v>
      </c>
      <c r="F758" s="8" t="s">
        <v>3327</v>
      </c>
      <c r="G758" s="8" t="s">
        <v>3102</v>
      </c>
      <c r="H758" s="12" t="s">
        <v>194</v>
      </c>
      <c r="I758" s="8" t="s">
        <v>2213</v>
      </c>
      <c r="J758" s="8" t="s">
        <v>3367</v>
      </c>
      <c r="K758" s="8" t="s">
        <v>2215</v>
      </c>
    </row>
    <row r="759" customFormat="false" ht="24.75" hidden="false" customHeight="true" outlineLevel="0" collapsed="false">
      <c r="A759" s="12" t="s">
        <v>2049</v>
      </c>
      <c r="B759" s="8" t="s">
        <v>2050</v>
      </c>
      <c r="C759" s="8" t="s">
        <v>3310</v>
      </c>
      <c r="D759" s="12" t="s">
        <v>1983</v>
      </c>
      <c r="E759" s="8" t="s">
        <v>3100</v>
      </c>
      <c r="F759" s="8" t="s">
        <v>3327</v>
      </c>
      <c r="G759" s="8" t="s">
        <v>3102</v>
      </c>
      <c r="H759" s="12" t="s">
        <v>194</v>
      </c>
      <c r="I759" s="8" t="s">
        <v>2213</v>
      </c>
      <c r="J759" s="8" t="s">
        <v>3368</v>
      </c>
      <c r="K759" s="8" t="s">
        <v>2215</v>
      </c>
    </row>
    <row r="760" customFormat="false" ht="24.75" hidden="false" customHeight="true" outlineLevel="0" collapsed="false">
      <c r="A760" s="12" t="s">
        <v>2053</v>
      </c>
      <c r="B760" s="8" t="s">
        <v>2054</v>
      </c>
      <c r="C760" s="8" t="s">
        <v>3310</v>
      </c>
      <c r="D760" s="12" t="s">
        <v>1983</v>
      </c>
      <c r="E760" s="8" t="s">
        <v>3100</v>
      </c>
      <c r="F760" s="8" t="s">
        <v>3171</v>
      </c>
      <c r="G760" s="8" t="s">
        <v>3172</v>
      </c>
      <c r="H760" s="12" t="s">
        <v>810</v>
      </c>
      <c r="I760" s="8" t="s">
        <v>2213</v>
      </c>
      <c r="J760" s="8" t="s">
        <v>3369</v>
      </c>
      <c r="K760" s="8" t="s">
        <v>2215</v>
      </c>
    </row>
    <row r="761" customFormat="false" ht="24.75" hidden="false" customHeight="true" outlineLevel="0" collapsed="false">
      <c r="A761" s="12" t="s">
        <v>2057</v>
      </c>
      <c r="B761" s="8" t="s">
        <v>2058</v>
      </c>
      <c r="C761" s="8" t="s">
        <v>3310</v>
      </c>
      <c r="D761" s="12" t="s">
        <v>1981</v>
      </c>
      <c r="E761" s="8" t="s">
        <v>2939</v>
      </c>
      <c r="F761" s="8" t="s">
        <v>2940</v>
      </c>
      <c r="G761" s="8" t="s">
        <v>2941</v>
      </c>
      <c r="H761" s="12" t="s">
        <v>195</v>
      </c>
      <c r="I761" s="8" t="s">
        <v>2213</v>
      </c>
      <c r="J761" s="8" t="s">
        <v>3370</v>
      </c>
      <c r="K761" s="8" t="s">
        <v>2215</v>
      </c>
    </row>
    <row r="762" customFormat="false" ht="24.75" hidden="false" customHeight="true" outlineLevel="0" collapsed="false">
      <c r="A762" s="12" t="s">
        <v>2057</v>
      </c>
      <c r="B762" s="8" t="s">
        <v>2058</v>
      </c>
      <c r="C762" s="8" t="s">
        <v>3310</v>
      </c>
      <c r="D762" s="12" t="s">
        <v>1981</v>
      </c>
      <c r="E762" s="8" t="s">
        <v>2939</v>
      </c>
      <c r="F762" s="8" t="s">
        <v>2940</v>
      </c>
      <c r="G762" s="8" t="s">
        <v>2941</v>
      </c>
      <c r="H762" s="12" t="s">
        <v>195</v>
      </c>
      <c r="I762" s="8" t="s">
        <v>2213</v>
      </c>
      <c r="J762" s="8" t="s">
        <v>3362</v>
      </c>
      <c r="K762" s="8" t="s">
        <v>2215</v>
      </c>
    </row>
    <row r="763" customFormat="false" ht="24.75" hidden="false" customHeight="true" outlineLevel="0" collapsed="false">
      <c r="A763" s="12" t="s">
        <v>2062</v>
      </c>
      <c r="B763" s="8" t="s">
        <v>2063</v>
      </c>
      <c r="C763" s="8" t="s">
        <v>3310</v>
      </c>
      <c r="D763" s="12" t="s">
        <v>1982</v>
      </c>
      <c r="E763" s="8" t="s">
        <v>2703</v>
      </c>
      <c r="F763" s="8" t="s">
        <v>2704</v>
      </c>
      <c r="G763" s="8" t="s">
        <v>2705</v>
      </c>
      <c r="H763" s="12" t="s">
        <v>195</v>
      </c>
      <c r="I763" s="8" t="s">
        <v>2213</v>
      </c>
      <c r="J763" s="8" t="s">
        <v>3371</v>
      </c>
      <c r="K763" s="8" t="s">
        <v>2215</v>
      </c>
    </row>
    <row r="764" customFormat="false" ht="24.75" hidden="false" customHeight="true" outlineLevel="0" collapsed="false">
      <c r="A764" s="12" t="s">
        <v>2062</v>
      </c>
      <c r="B764" s="8" t="s">
        <v>2063</v>
      </c>
      <c r="C764" s="8" t="s">
        <v>3310</v>
      </c>
      <c r="D764" s="12" t="s">
        <v>1982</v>
      </c>
      <c r="E764" s="8" t="s">
        <v>2703</v>
      </c>
      <c r="F764" s="8" t="s">
        <v>2704</v>
      </c>
      <c r="G764" s="8" t="s">
        <v>2705</v>
      </c>
      <c r="H764" s="12" t="s">
        <v>195</v>
      </c>
      <c r="I764" s="8" t="s">
        <v>2213</v>
      </c>
      <c r="J764" s="8" t="s">
        <v>3372</v>
      </c>
      <c r="K764" s="8" t="s">
        <v>2215</v>
      </c>
    </row>
    <row r="765" customFormat="false" ht="24.75" hidden="false" customHeight="true" outlineLevel="0" collapsed="false">
      <c r="A765" s="12" t="s">
        <v>2062</v>
      </c>
      <c r="B765" s="8" t="s">
        <v>2063</v>
      </c>
      <c r="C765" s="8" t="s">
        <v>3310</v>
      </c>
      <c r="D765" s="12" t="s">
        <v>1982</v>
      </c>
      <c r="E765" s="8" t="s">
        <v>2703</v>
      </c>
      <c r="F765" s="8" t="s">
        <v>2704</v>
      </c>
      <c r="G765" s="8" t="s">
        <v>2705</v>
      </c>
      <c r="H765" s="12" t="s">
        <v>195</v>
      </c>
      <c r="I765" s="8" t="s">
        <v>2213</v>
      </c>
      <c r="J765" s="8" t="s">
        <v>3373</v>
      </c>
      <c r="K765" s="8" t="s">
        <v>2215</v>
      </c>
    </row>
    <row r="766" customFormat="false" ht="24.75" hidden="false" customHeight="true" outlineLevel="0" collapsed="false">
      <c r="A766" s="12" t="s">
        <v>2062</v>
      </c>
      <c r="B766" s="8" t="s">
        <v>2063</v>
      </c>
      <c r="C766" s="8" t="s">
        <v>3310</v>
      </c>
      <c r="D766" s="12" t="s">
        <v>1982</v>
      </c>
      <c r="E766" s="8" t="s">
        <v>2703</v>
      </c>
      <c r="F766" s="8" t="s">
        <v>2704</v>
      </c>
      <c r="G766" s="8" t="s">
        <v>2705</v>
      </c>
      <c r="H766" s="12" t="s">
        <v>195</v>
      </c>
      <c r="I766" s="8" t="s">
        <v>2213</v>
      </c>
      <c r="J766" s="8" t="s">
        <v>3374</v>
      </c>
      <c r="K766" s="8" t="s">
        <v>2215</v>
      </c>
    </row>
    <row r="767" customFormat="false" ht="37.5" hidden="false" customHeight="true" outlineLevel="0" collapsed="false">
      <c r="A767" s="12" t="s">
        <v>2062</v>
      </c>
      <c r="B767" s="8" t="s">
        <v>2063</v>
      </c>
      <c r="C767" s="8" t="s">
        <v>3310</v>
      </c>
      <c r="D767" s="12" t="s">
        <v>1982</v>
      </c>
      <c r="E767" s="8" t="s">
        <v>2703</v>
      </c>
      <c r="F767" s="8" t="s">
        <v>2704</v>
      </c>
      <c r="G767" s="8" t="s">
        <v>2705</v>
      </c>
      <c r="H767" s="12" t="s">
        <v>195</v>
      </c>
      <c r="I767" s="8" t="s">
        <v>2213</v>
      </c>
      <c r="J767" s="8" t="s">
        <v>3375</v>
      </c>
      <c r="K767" s="8" t="s">
        <v>2215</v>
      </c>
    </row>
    <row r="768" customFormat="false" ht="24.75" hidden="false" customHeight="true" outlineLevel="0" collapsed="false">
      <c r="A768" s="12" t="s">
        <v>2062</v>
      </c>
      <c r="B768" s="8" t="s">
        <v>2063</v>
      </c>
      <c r="C768" s="8" t="s">
        <v>3310</v>
      </c>
      <c r="D768" s="12" t="s">
        <v>1983</v>
      </c>
      <c r="E768" s="8" t="s">
        <v>3100</v>
      </c>
      <c r="F768" s="8" t="s">
        <v>3327</v>
      </c>
      <c r="G768" s="8" t="s">
        <v>3102</v>
      </c>
      <c r="H768" s="12" t="s">
        <v>194</v>
      </c>
      <c r="I768" s="8" t="s">
        <v>2213</v>
      </c>
      <c r="J768" s="8" t="s">
        <v>3376</v>
      </c>
      <c r="K768" s="8" t="s">
        <v>2215</v>
      </c>
    </row>
    <row r="769" customFormat="false" ht="24.75" hidden="false" customHeight="true" outlineLevel="0" collapsed="false">
      <c r="A769" s="12" t="s">
        <v>2066</v>
      </c>
      <c r="B769" s="8" t="s">
        <v>2067</v>
      </c>
      <c r="C769" s="8" t="s">
        <v>3310</v>
      </c>
      <c r="D769" s="12" t="s">
        <v>1983</v>
      </c>
      <c r="E769" s="8" t="s">
        <v>3100</v>
      </c>
      <c r="F769" s="8" t="s">
        <v>3327</v>
      </c>
      <c r="G769" s="8" t="s">
        <v>3102</v>
      </c>
      <c r="H769" s="12" t="s">
        <v>194</v>
      </c>
      <c r="I769" s="8" t="s">
        <v>2213</v>
      </c>
      <c r="J769" s="8" t="s">
        <v>3377</v>
      </c>
      <c r="K769" s="8" t="s">
        <v>2215</v>
      </c>
    </row>
    <row r="770" customFormat="false" ht="24.75" hidden="false" customHeight="true" outlineLevel="0" collapsed="false">
      <c r="A770" s="12" t="s">
        <v>2066</v>
      </c>
      <c r="B770" s="8" t="s">
        <v>2067</v>
      </c>
      <c r="C770" s="8" t="s">
        <v>3310</v>
      </c>
      <c r="D770" s="12" t="s">
        <v>1983</v>
      </c>
      <c r="E770" s="8" t="s">
        <v>3100</v>
      </c>
      <c r="F770" s="8" t="s">
        <v>3327</v>
      </c>
      <c r="G770" s="8" t="s">
        <v>3102</v>
      </c>
      <c r="H770" s="12" t="s">
        <v>194</v>
      </c>
      <c r="I770" s="8" t="s">
        <v>2213</v>
      </c>
      <c r="J770" s="8" t="s">
        <v>3378</v>
      </c>
      <c r="K770" s="8" t="s">
        <v>2215</v>
      </c>
    </row>
    <row r="771" customFormat="false" ht="37.5" hidden="false" customHeight="true" outlineLevel="0" collapsed="false">
      <c r="A771" s="12" t="s">
        <v>2069</v>
      </c>
      <c r="B771" s="8" t="s">
        <v>2072</v>
      </c>
      <c r="C771" s="8" t="s">
        <v>3310</v>
      </c>
      <c r="D771" s="12" t="s">
        <v>1983</v>
      </c>
      <c r="E771" s="8" t="s">
        <v>3100</v>
      </c>
      <c r="F771" s="8" t="s">
        <v>3327</v>
      </c>
      <c r="G771" s="8" t="s">
        <v>3102</v>
      </c>
      <c r="H771" s="12" t="s">
        <v>194</v>
      </c>
      <c r="I771" s="8" t="s">
        <v>2213</v>
      </c>
      <c r="J771" s="8" t="s">
        <v>3379</v>
      </c>
      <c r="K771" s="8" t="s">
        <v>2215</v>
      </c>
    </row>
    <row r="772" customFormat="false" ht="24.75" hidden="false" customHeight="true" outlineLevel="0" collapsed="false">
      <c r="A772" s="12" t="s">
        <v>2069</v>
      </c>
      <c r="B772" s="8" t="s">
        <v>2072</v>
      </c>
      <c r="C772" s="8" t="s">
        <v>3310</v>
      </c>
      <c r="D772" s="12" t="s">
        <v>1983</v>
      </c>
      <c r="E772" s="8" t="s">
        <v>3100</v>
      </c>
      <c r="F772" s="8" t="s">
        <v>3327</v>
      </c>
      <c r="G772" s="8" t="s">
        <v>3102</v>
      </c>
      <c r="H772" s="12" t="s">
        <v>194</v>
      </c>
      <c r="I772" s="8" t="s">
        <v>2213</v>
      </c>
      <c r="J772" s="8" t="s">
        <v>3380</v>
      </c>
      <c r="K772" s="8" t="s">
        <v>2215</v>
      </c>
    </row>
    <row r="773" customFormat="false" ht="37.5" hidden="false" customHeight="true" outlineLevel="0" collapsed="false">
      <c r="A773" s="12" t="s">
        <v>2069</v>
      </c>
      <c r="B773" s="8" t="s">
        <v>2072</v>
      </c>
      <c r="C773" s="8" t="s">
        <v>3310</v>
      </c>
      <c r="D773" s="12" t="s">
        <v>1983</v>
      </c>
      <c r="E773" s="8" t="s">
        <v>3100</v>
      </c>
      <c r="F773" s="8" t="s">
        <v>3327</v>
      </c>
      <c r="G773" s="8" t="s">
        <v>3102</v>
      </c>
      <c r="H773" s="12" t="s">
        <v>194</v>
      </c>
      <c r="I773" s="8" t="s">
        <v>2213</v>
      </c>
      <c r="J773" s="8" t="s">
        <v>3381</v>
      </c>
      <c r="K773" s="8" t="s">
        <v>2215</v>
      </c>
    </row>
    <row r="774" customFormat="false" ht="24.75" hidden="false" customHeight="true" outlineLevel="0" collapsed="false">
      <c r="A774" s="12" t="s">
        <v>2075</v>
      </c>
      <c r="B774" s="8" t="s">
        <v>2076</v>
      </c>
      <c r="C774" s="8" t="s">
        <v>3310</v>
      </c>
      <c r="D774" s="12" t="s">
        <v>1983</v>
      </c>
      <c r="E774" s="8" t="s">
        <v>3100</v>
      </c>
      <c r="F774" s="8" t="s">
        <v>3313</v>
      </c>
      <c r="G774" s="8" t="s">
        <v>3102</v>
      </c>
      <c r="H774" s="12" t="s">
        <v>194</v>
      </c>
      <c r="I774" s="8" t="s">
        <v>2213</v>
      </c>
      <c r="J774" s="8" t="s">
        <v>3382</v>
      </c>
      <c r="K774" s="8" t="s">
        <v>2215</v>
      </c>
    </row>
    <row r="775" customFormat="false" ht="24.75" hidden="false" customHeight="true" outlineLevel="0" collapsed="false">
      <c r="A775" s="12" t="s">
        <v>2075</v>
      </c>
      <c r="B775" s="8" t="s">
        <v>2076</v>
      </c>
      <c r="C775" s="8" t="s">
        <v>3310</v>
      </c>
      <c r="D775" s="12" t="s">
        <v>1983</v>
      </c>
      <c r="E775" s="8" t="s">
        <v>3100</v>
      </c>
      <c r="F775" s="8" t="s">
        <v>3313</v>
      </c>
      <c r="G775" s="8" t="s">
        <v>3102</v>
      </c>
      <c r="H775" s="12" t="s">
        <v>194</v>
      </c>
      <c r="I775" s="8" t="s">
        <v>2213</v>
      </c>
      <c r="J775" s="8" t="s">
        <v>3383</v>
      </c>
      <c r="K775" s="8" t="s">
        <v>2215</v>
      </c>
    </row>
    <row r="776" customFormat="false" ht="24.75" hidden="false" customHeight="true" outlineLevel="0" collapsed="false">
      <c r="A776" s="12" t="s">
        <v>2075</v>
      </c>
      <c r="B776" s="8" t="s">
        <v>2076</v>
      </c>
      <c r="C776" s="8" t="s">
        <v>3310</v>
      </c>
      <c r="D776" s="12" t="s">
        <v>1983</v>
      </c>
      <c r="E776" s="8" t="s">
        <v>3100</v>
      </c>
      <c r="F776" s="8" t="s">
        <v>3313</v>
      </c>
      <c r="G776" s="8" t="s">
        <v>3102</v>
      </c>
      <c r="H776" s="12" t="s">
        <v>194</v>
      </c>
      <c r="I776" s="8" t="s">
        <v>2213</v>
      </c>
      <c r="J776" s="8" t="s">
        <v>3384</v>
      </c>
      <c r="K776" s="8" t="s">
        <v>2215</v>
      </c>
    </row>
    <row r="777" customFormat="false" ht="24.75" hidden="false" customHeight="true" outlineLevel="0" collapsed="false">
      <c r="A777" s="12" t="s">
        <v>2079</v>
      </c>
      <c r="B777" s="8" t="s">
        <v>2080</v>
      </c>
      <c r="C777" s="8" t="s">
        <v>3310</v>
      </c>
      <c r="D777" s="12" t="s">
        <v>1982</v>
      </c>
      <c r="E777" s="8" t="s">
        <v>2703</v>
      </c>
      <c r="F777" s="8" t="s">
        <v>2704</v>
      </c>
      <c r="G777" s="8" t="s">
        <v>2705</v>
      </c>
      <c r="H777" s="12" t="s">
        <v>195</v>
      </c>
      <c r="I777" s="8" t="s">
        <v>2213</v>
      </c>
      <c r="J777" s="8" t="s">
        <v>3170</v>
      </c>
      <c r="K777" s="8" t="s">
        <v>2215</v>
      </c>
    </row>
    <row r="778" customFormat="false" ht="24.75" hidden="false" customHeight="true" outlineLevel="0" collapsed="false">
      <c r="A778" s="12" t="s">
        <v>2079</v>
      </c>
      <c r="B778" s="8" t="s">
        <v>2080</v>
      </c>
      <c r="C778" s="8" t="s">
        <v>3310</v>
      </c>
      <c r="D778" s="12" t="s">
        <v>1982</v>
      </c>
      <c r="E778" s="8" t="s">
        <v>2703</v>
      </c>
      <c r="F778" s="8" t="s">
        <v>2704</v>
      </c>
      <c r="G778" s="8" t="s">
        <v>2705</v>
      </c>
      <c r="H778" s="12" t="s">
        <v>195</v>
      </c>
      <c r="I778" s="8" t="s">
        <v>2213</v>
      </c>
      <c r="J778" s="8" t="s">
        <v>3385</v>
      </c>
      <c r="K778" s="8" t="s">
        <v>2215</v>
      </c>
    </row>
    <row r="779" customFormat="false" ht="37.5" hidden="false" customHeight="true" outlineLevel="0" collapsed="false">
      <c r="A779" s="12" t="s">
        <v>2079</v>
      </c>
      <c r="B779" s="8" t="s">
        <v>2080</v>
      </c>
      <c r="C779" s="8" t="s">
        <v>3310</v>
      </c>
      <c r="D779" s="12" t="s">
        <v>1983</v>
      </c>
      <c r="E779" s="8" t="s">
        <v>3100</v>
      </c>
      <c r="F779" s="8" t="s">
        <v>3327</v>
      </c>
      <c r="G779" s="8" t="s">
        <v>3102</v>
      </c>
      <c r="H779" s="12" t="s">
        <v>194</v>
      </c>
      <c r="I779" s="8" t="s">
        <v>2213</v>
      </c>
      <c r="J779" s="8" t="s">
        <v>3386</v>
      </c>
      <c r="K779" s="8" t="s">
        <v>2215</v>
      </c>
    </row>
    <row r="780" customFormat="false" ht="24.75" hidden="false" customHeight="true" outlineLevel="0" collapsed="false">
      <c r="A780" s="12" t="s">
        <v>2079</v>
      </c>
      <c r="B780" s="8" t="s">
        <v>2080</v>
      </c>
      <c r="C780" s="8" t="s">
        <v>3310</v>
      </c>
      <c r="D780" s="12" t="s">
        <v>1983</v>
      </c>
      <c r="E780" s="8" t="s">
        <v>3100</v>
      </c>
      <c r="F780" s="8" t="s">
        <v>3101</v>
      </c>
      <c r="G780" s="8" t="s">
        <v>3102</v>
      </c>
      <c r="H780" s="12" t="s">
        <v>194</v>
      </c>
      <c r="I780" s="8" t="s">
        <v>2213</v>
      </c>
      <c r="J780" s="8" t="s">
        <v>3387</v>
      </c>
      <c r="K780" s="8" t="s">
        <v>2215</v>
      </c>
    </row>
    <row r="781" customFormat="false" ht="24.75" hidden="false" customHeight="true" outlineLevel="0" collapsed="false">
      <c r="A781" s="12" t="s">
        <v>2079</v>
      </c>
      <c r="B781" s="8" t="s">
        <v>2080</v>
      </c>
      <c r="C781" s="8" t="s">
        <v>3310</v>
      </c>
      <c r="D781" s="12" t="s">
        <v>1983</v>
      </c>
      <c r="E781" s="8" t="s">
        <v>3100</v>
      </c>
      <c r="F781" s="8" t="s">
        <v>3327</v>
      </c>
      <c r="G781" s="8" t="s">
        <v>3102</v>
      </c>
      <c r="H781" s="12" t="s">
        <v>194</v>
      </c>
      <c r="I781" s="8" t="s">
        <v>2213</v>
      </c>
      <c r="J781" s="8" t="s">
        <v>3388</v>
      </c>
      <c r="K781" s="8" t="s">
        <v>2215</v>
      </c>
    </row>
    <row r="782" customFormat="false" ht="24.75" hidden="false" customHeight="true" outlineLevel="0" collapsed="false">
      <c r="A782" s="12" t="s">
        <v>2079</v>
      </c>
      <c r="B782" s="8" t="s">
        <v>2080</v>
      </c>
      <c r="C782" s="8" t="s">
        <v>3310</v>
      </c>
      <c r="D782" s="12" t="s">
        <v>1983</v>
      </c>
      <c r="E782" s="8" t="s">
        <v>3100</v>
      </c>
      <c r="F782" s="8" t="s">
        <v>3327</v>
      </c>
      <c r="G782" s="8" t="s">
        <v>3102</v>
      </c>
      <c r="H782" s="12" t="s">
        <v>194</v>
      </c>
      <c r="I782" s="8" t="s">
        <v>2213</v>
      </c>
      <c r="J782" s="8" t="s">
        <v>3389</v>
      </c>
      <c r="K782" s="8" t="s">
        <v>2215</v>
      </c>
    </row>
    <row r="783" customFormat="false" ht="37.5" hidden="false" customHeight="true" outlineLevel="0" collapsed="false">
      <c r="A783" s="12" t="s">
        <v>2083</v>
      </c>
      <c r="B783" s="8" t="s">
        <v>2084</v>
      </c>
      <c r="C783" s="8" t="s">
        <v>3310</v>
      </c>
      <c r="D783" s="12" t="s">
        <v>1983</v>
      </c>
      <c r="E783" s="8" t="s">
        <v>3100</v>
      </c>
      <c r="F783" s="8" t="s">
        <v>3329</v>
      </c>
      <c r="G783" s="8" t="s">
        <v>3172</v>
      </c>
      <c r="H783" s="12" t="s">
        <v>810</v>
      </c>
      <c r="I783" s="8" t="s">
        <v>2213</v>
      </c>
      <c r="J783" s="8" t="s">
        <v>3390</v>
      </c>
      <c r="K783" s="8" t="s">
        <v>2215</v>
      </c>
    </row>
    <row r="784" customFormat="false" ht="24.75" hidden="false" customHeight="true" outlineLevel="0" collapsed="false">
      <c r="A784" s="12" t="s">
        <v>2083</v>
      </c>
      <c r="B784" s="8" t="s">
        <v>2084</v>
      </c>
      <c r="C784" s="8" t="s">
        <v>3310</v>
      </c>
      <c r="D784" s="12" t="s">
        <v>1983</v>
      </c>
      <c r="E784" s="8" t="s">
        <v>3100</v>
      </c>
      <c r="F784" s="8" t="s">
        <v>3329</v>
      </c>
      <c r="G784" s="8" t="s">
        <v>3172</v>
      </c>
      <c r="H784" s="12" t="s">
        <v>810</v>
      </c>
      <c r="I784" s="8" t="s">
        <v>2213</v>
      </c>
      <c r="J784" s="8" t="s">
        <v>3391</v>
      </c>
      <c r="K784" s="8" t="s">
        <v>2215</v>
      </c>
    </row>
    <row r="785" customFormat="false" ht="37.5" hidden="false" customHeight="true" outlineLevel="0" collapsed="false">
      <c r="A785" s="12" t="s">
        <v>2087</v>
      </c>
      <c r="B785" s="8" t="s">
        <v>2088</v>
      </c>
      <c r="C785" s="8" t="s">
        <v>3310</v>
      </c>
      <c r="D785" s="12" t="s">
        <v>1982</v>
      </c>
      <c r="E785" s="8" t="s">
        <v>2703</v>
      </c>
      <c r="F785" s="8" t="s">
        <v>2704</v>
      </c>
      <c r="G785" s="8" t="s">
        <v>2705</v>
      </c>
      <c r="H785" s="12" t="s">
        <v>195</v>
      </c>
      <c r="I785" s="8" t="s">
        <v>2213</v>
      </c>
      <c r="J785" s="8" t="s">
        <v>3392</v>
      </c>
      <c r="K785" s="8" t="s">
        <v>2215</v>
      </c>
    </row>
    <row r="786" customFormat="false" ht="24.75" hidden="false" customHeight="true" outlineLevel="0" collapsed="false">
      <c r="A786" s="12" t="s">
        <v>2087</v>
      </c>
      <c r="B786" s="8" t="s">
        <v>2088</v>
      </c>
      <c r="C786" s="8" t="s">
        <v>3310</v>
      </c>
      <c r="D786" s="12" t="s">
        <v>1982</v>
      </c>
      <c r="E786" s="8" t="s">
        <v>2703</v>
      </c>
      <c r="F786" s="8" t="s">
        <v>2704</v>
      </c>
      <c r="G786" s="8" t="s">
        <v>2705</v>
      </c>
      <c r="H786" s="12" t="s">
        <v>195</v>
      </c>
      <c r="I786" s="8" t="s">
        <v>2213</v>
      </c>
      <c r="J786" s="8" t="s">
        <v>3393</v>
      </c>
      <c r="K786" s="8" t="s">
        <v>2215</v>
      </c>
    </row>
    <row r="787" customFormat="false" ht="37.5" hidden="false" customHeight="true" outlineLevel="0" collapsed="false">
      <c r="A787" s="12" t="s">
        <v>2087</v>
      </c>
      <c r="B787" s="8" t="s">
        <v>2088</v>
      </c>
      <c r="C787" s="8" t="s">
        <v>3310</v>
      </c>
      <c r="D787" s="12" t="s">
        <v>1983</v>
      </c>
      <c r="E787" s="8" t="s">
        <v>3100</v>
      </c>
      <c r="F787" s="8" t="s">
        <v>3327</v>
      </c>
      <c r="G787" s="8" t="s">
        <v>3102</v>
      </c>
      <c r="H787" s="12" t="s">
        <v>194</v>
      </c>
      <c r="I787" s="8" t="s">
        <v>2213</v>
      </c>
      <c r="J787" s="8" t="s">
        <v>3394</v>
      </c>
      <c r="K787" s="8" t="s">
        <v>2215</v>
      </c>
    </row>
    <row r="788" customFormat="false" ht="24.75" hidden="false" customHeight="true" outlineLevel="0" collapsed="false">
      <c r="A788" s="12" t="s">
        <v>2087</v>
      </c>
      <c r="B788" s="8" t="s">
        <v>2088</v>
      </c>
      <c r="C788" s="8" t="s">
        <v>3310</v>
      </c>
      <c r="D788" s="12" t="s">
        <v>1983</v>
      </c>
      <c r="E788" s="8" t="s">
        <v>3100</v>
      </c>
      <c r="F788" s="8" t="s">
        <v>3327</v>
      </c>
      <c r="G788" s="8" t="s">
        <v>3102</v>
      </c>
      <c r="H788" s="12" t="s">
        <v>194</v>
      </c>
      <c r="I788" s="8" t="s">
        <v>2213</v>
      </c>
      <c r="J788" s="8" t="s">
        <v>3395</v>
      </c>
      <c r="K788" s="8" t="s">
        <v>2215</v>
      </c>
    </row>
    <row r="789" customFormat="false" ht="24.75" hidden="false" customHeight="true" outlineLevel="0" collapsed="false">
      <c r="A789" s="12" t="s">
        <v>2092</v>
      </c>
      <c r="B789" s="8" t="s">
        <v>2094</v>
      </c>
      <c r="C789" s="8" t="s">
        <v>3310</v>
      </c>
      <c r="D789" s="12" t="s">
        <v>173</v>
      </c>
      <c r="E789" s="8" t="s">
        <v>2260</v>
      </c>
      <c r="F789" s="8" t="s">
        <v>3273</v>
      </c>
      <c r="G789" s="8" t="s">
        <v>2262</v>
      </c>
      <c r="H789" s="12" t="s">
        <v>194</v>
      </c>
      <c r="I789" s="8" t="s">
        <v>2213</v>
      </c>
      <c r="J789" s="8" t="s">
        <v>3396</v>
      </c>
      <c r="K789" s="8" t="s">
        <v>2215</v>
      </c>
    </row>
    <row r="790" customFormat="false" ht="24.75" hidden="false" customHeight="true" outlineLevel="0" collapsed="false">
      <c r="A790" s="12" t="s">
        <v>2092</v>
      </c>
      <c r="B790" s="8" t="s">
        <v>2094</v>
      </c>
      <c r="C790" s="8" t="s">
        <v>3310</v>
      </c>
      <c r="D790" s="12" t="s">
        <v>1981</v>
      </c>
      <c r="E790" s="8" t="s">
        <v>2939</v>
      </c>
      <c r="F790" s="8" t="s">
        <v>2940</v>
      </c>
      <c r="G790" s="8" t="s">
        <v>2941</v>
      </c>
      <c r="H790" s="12" t="s">
        <v>195</v>
      </c>
      <c r="I790" s="8" t="s">
        <v>2213</v>
      </c>
      <c r="J790" s="8" t="s">
        <v>3397</v>
      </c>
      <c r="K790" s="8" t="s">
        <v>2215</v>
      </c>
    </row>
    <row r="791" customFormat="false" ht="24.75" hidden="false" customHeight="true" outlineLevel="0" collapsed="false">
      <c r="A791" s="12" t="s">
        <v>2092</v>
      </c>
      <c r="B791" s="8" t="s">
        <v>2094</v>
      </c>
      <c r="C791" s="8" t="s">
        <v>3310</v>
      </c>
      <c r="D791" s="12" t="s">
        <v>1982</v>
      </c>
      <c r="E791" s="8" t="s">
        <v>2703</v>
      </c>
      <c r="F791" s="8" t="s">
        <v>2704</v>
      </c>
      <c r="G791" s="8" t="s">
        <v>2705</v>
      </c>
      <c r="H791" s="12" t="s">
        <v>195</v>
      </c>
      <c r="I791" s="8" t="s">
        <v>2213</v>
      </c>
      <c r="J791" s="8" t="s">
        <v>3398</v>
      </c>
      <c r="K791" s="8" t="s">
        <v>2215</v>
      </c>
    </row>
    <row r="792" customFormat="false" ht="37.5" hidden="false" customHeight="true" outlineLevel="0" collapsed="false">
      <c r="A792" s="12" t="s">
        <v>2092</v>
      </c>
      <c r="B792" s="8" t="s">
        <v>2094</v>
      </c>
      <c r="C792" s="8" t="s">
        <v>3310</v>
      </c>
      <c r="D792" s="12" t="s">
        <v>1983</v>
      </c>
      <c r="E792" s="8" t="s">
        <v>3100</v>
      </c>
      <c r="F792" s="8" t="s">
        <v>3327</v>
      </c>
      <c r="G792" s="8" t="s">
        <v>3102</v>
      </c>
      <c r="H792" s="12" t="s">
        <v>194</v>
      </c>
      <c r="I792" s="8" t="s">
        <v>2213</v>
      </c>
      <c r="J792" s="8" t="s">
        <v>3399</v>
      </c>
      <c r="K792" s="8" t="s">
        <v>2215</v>
      </c>
    </row>
    <row r="793" customFormat="false" ht="24.75" hidden="false" customHeight="true" outlineLevel="0" collapsed="false">
      <c r="A793" s="12" t="s">
        <v>2097</v>
      </c>
      <c r="B793" s="8" t="s">
        <v>2098</v>
      </c>
      <c r="C793" s="8" t="s">
        <v>3310</v>
      </c>
      <c r="D793" s="12" t="s">
        <v>173</v>
      </c>
      <c r="E793" s="8" t="s">
        <v>2260</v>
      </c>
      <c r="F793" s="8" t="s">
        <v>3273</v>
      </c>
      <c r="G793" s="8" t="s">
        <v>2262</v>
      </c>
      <c r="H793" s="12" t="s">
        <v>194</v>
      </c>
      <c r="I793" s="8" t="s">
        <v>2213</v>
      </c>
      <c r="J793" s="8" t="s">
        <v>3400</v>
      </c>
      <c r="K793" s="8" t="s">
        <v>2215</v>
      </c>
    </row>
    <row r="794" customFormat="false" ht="24.75" hidden="false" customHeight="true" outlineLevel="0" collapsed="false">
      <c r="A794" s="12" t="s">
        <v>2097</v>
      </c>
      <c r="B794" s="8" t="s">
        <v>2098</v>
      </c>
      <c r="C794" s="8" t="s">
        <v>3310</v>
      </c>
      <c r="D794" s="12" t="s">
        <v>1983</v>
      </c>
      <c r="E794" s="8" t="s">
        <v>3100</v>
      </c>
      <c r="F794" s="8" t="s">
        <v>3327</v>
      </c>
      <c r="G794" s="8" t="s">
        <v>3102</v>
      </c>
      <c r="H794" s="12" t="s">
        <v>194</v>
      </c>
      <c r="I794" s="8" t="s">
        <v>2213</v>
      </c>
      <c r="J794" s="8" t="s">
        <v>3401</v>
      </c>
      <c r="K794" s="8" t="s">
        <v>2215</v>
      </c>
    </row>
    <row r="795" customFormat="false" ht="24.75" hidden="false" customHeight="true" outlineLevel="0" collapsed="false">
      <c r="A795" s="12" t="s">
        <v>2097</v>
      </c>
      <c r="B795" s="8" t="s">
        <v>2098</v>
      </c>
      <c r="C795" s="8" t="s">
        <v>3310</v>
      </c>
      <c r="D795" s="12" t="s">
        <v>1983</v>
      </c>
      <c r="E795" s="8" t="s">
        <v>3100</v>
      </c>
      <c r="F795" s="8" t="s">
        <v>3327</v>
      </c>
      <c r="G795" s="8" t="s">
        <v>3102</v>
      </c>
      <c r="H795" s="12" t="s">
        <v>194</v>
      </c>
      <c r="I795" s="8" t="s">
        <v>2213</v>
      </c>
      <c r="J795" s="8" t="s">
        <v>3402</v>
      </c>
      <c r="K795" s="8" t="s">
        <v>2215</v>
      </c>
    </row>
    <row r="796" customFormat="false" ht="24.75" hidden="false" customHeight="true" outlineLevel="0" collapsed="false">
      <c r="A796" s="12" t="s">
        <v>2097</v>
      </c>
      <c r="B796" s="8" t="s">
        <v>2098</v>
      </c>
      <c r="C796" s="8" t="s">
        <v>3310</v>
      </c>
      <c r="D796" s="12" t="s">
        <v>1983</v>
      </c>
      <c r="E796" s="8" t="s">
        <v>3100</v>
      </c>
      <c r="F796" s="8" t="s">
        <v>3327</v>
      </c>
      <c r="G796" s="8" t="s">
        <v>3102</v>
      </c>
      <c r="H796" s="12" t="s">
        <v>194</v>
      </c>
      <c r="I796" s="8" t="s">
        <v>2213</v>
      </c>
      <c r="J796" s="8" t="s">
        <v>3403</v>
      </c>
      <c r="K796" s="8" t="s">
        <v>2215</v>
      </c>
    </row>
    <row r="797" customFormat="false" ht="24.75" hidden="false" customHeight="true" outlineLevel="0" collapsed="false">
      <c r="A797" s="12" t="s">
        <v>2097</v>
      </c>
      <c r="B797" s="8" t="s">
        <v>2098</v>
      </c>
      <c r="C797" s="8" t="s">
        <v>3310</v>
      </c>
      <c r="D797" s="12" t="s">
        <v>1983</v>
      </c>
      <c r="E797" s="8" t="s">
        <v>3100</v>
      </c>
      <c r="F797" s="8" t="s">
        <v>3327</v>
      </c>
      <c r="G797" s="8" t="s">
        <v>3102</v>
      </c>
      <c r="H797" s="12" t="s">
        <v>194</v>
      </c>
      <c r="I797" s="8" t="s">
        <v>2213</v>
      </c>
      <c r="J797" s="8" t="s">
        <v>3404</v>
      </c>
      <c r="K797" s="8" t="s">
        <v>2215</v>
      </c>
    </row>
    <row r="798" customFormat="false" ht="24.75" hidden="false" customHeight="true" outlineLevel="0" collapsed="false">
      <c r="A798" s="12" t="s">
        <v>2097</v>
      </c>
      <c r="B798" s="8" t="s">
        <v>2098</v>
      </c>
      <c r="C798" s="8" t="s">
        <v>3310</v>
      </c>
      <c r="D798" s="12" t="s">
        <v>1983</v>
      </c>
      <c r="E798" s="8" t="s">
        <v>3100</v>
      </c>
      <c r="F798" s="8" t="s">
        <v>3327</v>
      </c>
      <c r="G798" s="8" t="s">
        <v>3102</v>
      </c>
      <c r="H798" s="12" t="s">
        <v>194</v>
      </c>
      <c r="I798" s="8" t="s">
        <v>2213</v>
      </c>
      <c r="J798" s="8" t="s">
        <v>3405</v>
      </c>
      <c r="K798" s="8" t="s">
        <v>2215</v>
      </c>
    </row>
    <row r="799" customFormat="false" ht="24.75" hidden="false" customHeight="true" outlineLevel="0" collapsed="false">
      <c r="A799" s="12" t="s">
        <v>2101</v>
      </c>
      <c r="B799" s="8" t="s">
        <v>2102</v>
      </c>
      <c r="C799" s="8" t="s">
        <v>3310</v>
      </c>
      <c r="D799" s="12" t="s">
        <v>173</v>
      </c>
      <c r="E799" s="8" t="s">
        <v>2260</v>
      </c>
      <c r="F799" s="8" t="s">
        <v>3273</v>
      </c>
      <c r="G799" s="8" t="s">
        <v>2262</v>
      </c>
      <c r="H799" s="12" t="s">
        <v>194</v>
      </c>
      <c r="I799" s="8" t="s">
        <v>2213</v>
      </c>
      <c r="J799" s="8" t="s">
        <v>3406</v>
      </c>
      <c r="K799" s="8" t="s">
        <v>2215</v>
      </c>
    </row>
    <row r="800" customFormat="false" ht="24.75" hidden="false" customHeight="true" outlineLevel="0" collapsed="false">
      <c r="A800" s="12" t="s">
        <v>2101</v>
      </c>
      <c r="B800" s="8" t="s">
        <v>2102</v>
      </c>
      <c r="C800" s="8" t="s">
        <v>3310</v>
      </c>
      <c r="D800" s="12" t="s">
        <v>1982</v>
      </c>
      <c r="E800" s="8" t="s">
        <v>2703</v>
      </c>
      <c r="F800" s="8" t="s">
        <v>2704</v>
      </c>
      <c r="G800" s="8" t="s">
        <v>2705</v>
      </c>
      <c r="H800" s="12" t="s">
        <v>195</v>
      </c>
      <c r="I800" s="8" t="s">
        <v>2213</v>
      </c>
      <c r="J800" s="8" t="s">
        <v>3407</v>
      </c>
      <c r="K800" s="8" t="s">
        <v>2215</v>
      </c>
    </row>
    <row r="801" customFormat="false" ht="24.75" hidden="false" customHeight="true" outlineLevel="0" collapsed="false">
      <c r="A801" s="12" t="s">
        <v>2101</v>
      </c>
      <c r="B801" s="8" t="s">
        <v>2102</v>
      </c>
      <c r="C801" s="8" t="s">
        <v>3310</v>
      </c>
      <c r="D801" s="12" t="s">
        <v>1982</v>
      </c>
      <c r="E801" s="8" t="s">
        <v>2703</v>
      </c>
      <c r="F801" s="8" t="s">
        <v>2704</v>
      </c>
      <c r="G801" s="8" t="s">
        <v>2705</v>
      </c>
      <c r="H801" s="12" t="s">
        <v>195</v>
      </c>
      <c r="I801" s="8" t="s">
        <v>2213</v>
      </c>
      <c r="J801" s="8" t="s">
        <v>3408</v>
      </c>
      <c r="K801" s="8" t="s">
        <v>2215</v>
      </c>
    </row>
    <row r="802" customFormat="false" ht="24.75" hidden="false" customHeight="true" outlineLevel="0" collapsed="false">
      <c r="A802" s="12" t="s">
        <v>2105</v>
      </c>
      <c r="B802" s="8" t="s">
        <v>2106</v>
      </c>
      <c r="C802" s="8" t="s">
        <v>3310</v>
      </c>
      <c r="D802" s="12" t="s">
        <v>1982</v>
      </c>
      <c r="E802" s="8" t="s">
        <v>2703</v>
      </c>
      <c r="F802" s="8" t="s">
        <v>2704</v>
      </c>
      <c r="G802" s="8" t="s">
        <v>2705</v>
      </c>
      <c r="H802" s="12" t="s">
        <v>195</v>
      </c>
      <c r="I802" s="8" t="s">
        <v>2213</v>
      </c>
      <c r="J802" s="8" t="s">
        <v>3409</v>
      </c>
      <c r="K802" s="8" t="s">
        <v>2215</v>
      </c>
    </row>
    <row r="803" customFormat="false" ht="24.75" hidden="false" customHeight="true" outlineLevel="0" collapsed="false">
      <c r="A803" s="12" t="s">
        <v>2109</v>
      </c>
      <c r="B803" s="8" t="s">
        <v>2112</v>
      </c>
      <c r="C803" s="8" t="s">
        <v>3310</v>
      </c>
      <c r="D803" s="12" t="s">
        <v>1982</v>
      </c>
      <c r="E803" s="8" t="s">
        <v>2703</v>
      </c>
      <c r="F803" s="8" t="s">
        <v>2704</v>
      </c>
      <c r="G803" s="8" t="s">
        <v>2705</v>
      </c>
      <c r="H803" s="12" t="s">
        <v>195</v>
      </c>
      <c r="I803" s="8" t="s">
        <v>2213</v>
      </c>
      <c r="J803" s="8" t="s">
        <v>3410</v>
      </c>
      <c r="K803" s="8" t="s">
        <v>2215</v>
      </c>
    </row>
    <row r="804" customFormat="false" ht="24.75" hidden="false" customHeight="true" outlineLevel="0" collapsed="false">
      <c r="A804" s="12" t="s">
        <v>2109</v>
      </c>
      <c r="B804" s="8" t="s">
        <v>2112</v>
      </c>
      <c r="C804" s="8" t="s">
        <v>3310</v>
      </c>
      <c r="D804" s="12" t="s">
        <v>1982</v>
      </c>
      <c r="E804" s="8" t="s">
        <v>2703</v>
      </c>
      <c r="F804" s="8" t="s">
        <v>2704</v>
      </c>
      <c r="G804" s="8" t="s">
        <v>2705</v>
      </c>
      <c r="H804" s="12" t="s">
        <v>195</v>
      </c>
      <c r="I804" s="8" t="s">
        <v>2213</v>
      </c>
      <c r="J804" s="8" t="s">
        <v>3411</v>
      </c>
      <c r="K804" s="8" t="s">
        <v>2215</v>
      </c>
    </row>
    <row r="805" customFormat="false" ht="24.75" hidden="false" customHeight="true" outlineLevel="0" collapsed="false">
      <c r="A805" s="12" t="s">
        <v>2109</v>
      </c>
      <c r="B805" s="8" t="s">
        <v>2112</v>
      </c>
      <c r="C805" s="8" t="s">
        <v>3310</v>
      </c>
      <c r="D805" s="12" t="s">
        <v>1983</v>
      </c>
      <c r="E805" s="8" t="s">
        <v>3100</v>
      </c>
      <c r="F805" s="8" t="s">
        <v>3412</v>
      </c>
      <c r="G805" s="8" t="s">
        <v>3102</v>
      </c>
      <c r="H805" s="12" t="s">
        <v>194</v>
      </c>
      <c r="I805" s="8" t="s">
        <v>2213</v>
      </c>
      <c r="J805" s="8" t="s">
        <v>3413</v>
      </c>
      <c r="K805" s="8" t="s">
        <v>2215</v>
      </c>
    </row>
    <row r="806" customFormat="false" ht="24.75" hidden="false" customHeight="true" outlineLevel="0" collapsed="false">
      <c r="A806" s="12" t="s">
        <v>2109</v>
      </c>
      <c r="B806" s="8" t="s">
        <v>2112</v>
      </c>
      <c r="C806" s="8" t="s">
        <v>3310</v>
      </c>
      <c r="D806" s="12" t="s">
        <v>1983</v>
      </c>
      <c r="E806" s="8" t="s">
        <v>3100</v>
      </c>
      <c r="F806" s="8" t="s">
        <v>3412</v>
      </c>
      <c r="G806" s="8" t="s">
        <v>3102</v>
      </c>
      <c r="H806" s="12" t="s">
        <v>194</v>
      </c>
      <c r="I806" s="8" t="s">
        <v>2213</v>
      </c>
      <c r="J806" s="8" t="s">
        <v>3414</v>
      </c>
      <c r="K806" s="8" t="s">
        <v>2215</v>
      </c>
    </row>
    <row r="807" customFormat="false" ht="24.75" hidden="false" customHeight="true" outlineLevel="0" collapsed="false">
      <c r="A807" s="12" t="s">
        <v>2109</v>
      </c>
      <c r="B807" s="8" t="s">
        <v>2112</v>
      </c>
      <c r="C807" s="8" t="s">
        <v>3310</v>
      </c>
      <c r="D807" s="12" t="s">
        <v>1983</v>
      </c>
      <c r="E807" s="8" t="s">
        <v>3100</v>
      </c>
      <c r="F807" s="8" t="s">
        <v>3412</v>
      </c>
      <c r="G807" s="8" t="s">
        <v>3102</v>
      </c>
      <c r="H807" s="12" t="s">
        <v>194</v>
      </c>
      <c r="I807" s="8" t="s">
        <v>2213</v>
      </c>
      <c r="J807" s="8" t="s">
        <v>3415</v>
      </c>
      <c r="K807" s="8" t="s">
        <v>2215</v>
      </c>
    </row>
    <row r="808" customFormat="false" ht="24.75" hidden="false" customHeight="true" outlineLevel="0" collapsed="false">
      <c r="A808" s="12" t="s">
        <v>2109</v>
      </c>
      <c r="B808" s="8" t="s">
        <v>2112</v>
      </c>
      <c r="C808" s="8" t="s">
        <v>3310</v>
      </c>
      <c r="D808" s="12" t="s">
        <v>1983</v>
      </c>
      <c r="E808" s="8" t="s">
        <v>3100</v>
      </c>
      <c r="F808" s="8" t="s">
        <v>3416</v>
      </c>
      <c r="G808" s="8" t="s">
        <v>3172</v>
      </c>
      <c r="H808" s="12" t="s">
        <v>810</v>
      </c>
      <c r="I808" s="8" t="s">
        <v>2213</v>
      </c>
      <c r="J808" s="8" t="s">
        <v>3417</v>
      </c>
      <c r="K808" s="8" t="s">
        <v>2215</v>
      </c>
    </row>
    <row r="809" customFormat="false" ht="24.75" hidden="false" customHeight="true" outlineLevel="0" collapsed="false">
      <c r="A809" s="12" t="s">
        <v>2109</v>
      </c>
      <c r="B809" s="8" t="s">
        <v>2112</v>
      </c>
      <c r="C809" s="8" t="s">
        <v>3310</v>
      </c>
      <c r="D809" s="12" t="s">
        <v>1983</v>
      </c>
      <c r="E809" s="8" t="s">
        <v>3100</v>
      </c>
      <c r="F809" s="8" t="s">
        <v>3416</v>
      </c>
      <c r="G809" s="8" t="s">
        <v>3172</v>
      </c>
      <c r="H809" s="12" t="s">
        <v>810</v>
      </c>
      <c r="I809" s="8" t="s">
        <v>2213</v>
      </c>
      <c r="J809" s="8" t="s">
        <v>3418</v>
      </c>
      <c r="K809" s="8" t="s">
        <v>2215</v>
      </c>
    </row>
    <row r="810" customFormat="false" ht="24.75" hidden="false" customHeight="true" outlineLevel="0" collapsed="false">
      <c r="A810" s="12" t="s">
        <v>2109</v>
      </c>
      <c r="B810" s="8" t="s">
        <v>2112</v>
      </c>
      <c r="C810" s="8" t="s">
        <v>3310</v>
      </c>
      <c r="D810" s="12" t="s">
        <v>1983</v>
      </c>
      <c r="E810" s="8" t="s">
        <v>3100</v>
      </c>
      <c r="F810" s="8" t="s">
        <v>3313</v>
      </c>
      <c r="G810" s="8" t="s">
        <v>3102</v>
      </c>
      <c r="H810" s="12" t="s">
        <v>194</v>
      </c>
      <c r="I810" s="8" t="s">
        <v>2213</v>
      </c>
      <c r="J810" s="8" t="s">
        <v>3419</v>
      </c>
      <c r="K810" s="8" t="s">
        <v>2215</v>
      </c>
    </row>
    <row r="811" customFormat="false" ht="24.75" hidden="false" customHeight="true" outlineLevel="0" collapsed="false">
      <c r="A811" s="12" t="s">
        <v>2109</v>
      </c>
      <c r="B811" s="8" t="s">
        <v>2112</v>
      </c>
      <c r="C811" s="8" t="s">
        <v>3310</v>
      </c>
      <c r="D811" s="12" t="s">
        <v>1983</v>
      </c>
      <c r="E811" s="8" t="s">
        <v>3100</v>
      </c>
      <c r="F811" s="8" t="s">
        <v>3313</v>
      </c>
      <c r="G811" s="8" t="s">
        <v>3102</v>
      </c>
      <c r="H811" s="12" t="s">
        <v>194</v>
      </c>
      <c r="I811" s="8" t="s">
        <v>2213</v>
      </c>
      <c r="J811" s="8" t="s">
        <v>3420</v>
      </c>
      <c r="K811" s="8" t="s">
        <v>2215</v>
      </c>
    </row>
    <row r="812" customFormat="false" ht="24.75" hidden="false" customHeight="true" outlineLevel="0" collapsed="false">
      <c r="A812" s="12" t="s">
        <v>2116</v>
      </c>
      <c r="B812" s="8" t="s">
        <v>2117</v>
      </c>
      <c r="C812" s="8" t="s">
        <v>3310</v>
      </c>
      <c r="D812" s="12" t="s">
        <v>1983</v>
      </c>
      <c r="E812" s="8" t="s">
        <v>3100</v>
      </c>
      <c r="F812" s="8" t="s">
        <v>3416</v>
      </c>
      <c r="G812" s="8" t="s">
        <v>3172</v>
      </c>
      <c r="H812" s="12" t="s">
        <v>810</v>
      </c>
      <c r="I812" s="8" t="s">
        <v>2213</v>
      </c>
      <c r="J812" s="8" t="s">
        <v>3421</v>
      </c>
      <c r="K812" s="8" t="s">
        <v>2215</v>
      </c>
    </row>
    <row r="813" customFormat="false" ht="24.75" hidden="false" customHeight="true" outlineLevel="0" collapsed="false">
      <c r="A813" s="12" t="s">
        <v>2116</v>
      </c>
      <c r="B813" s="8" t="s">
        <v>2117</v>
      </c>
      <c r="C813" s="8" t="s">
        <v>3310</v>
      </c>
      <c r="D813" s="12" t="s">
        <v>1983</v>
      </c>
      <c r="E813" s="8" t="s">
        <v>3100</v>
      </c>
      <c r="F813" s="8" t="s">
        <v>3416</v>
      </c>
      <c r="G813" s="8" t="s">
        <v>3172</v>
      </c>
      <c r="H813" s="12" t="s">
        <v>810</v>
      </c>
      <c r="I813" s="8" t="s">
        <v>2213</v>
      </c>
      <c r="J813" s="8" t="s">
        <v>3422</v>
      </c>
      <c r="K813" s="8" t="s">
        <v>2215</v>
      </c>
    </row>
    <row r="814" customFormat="false" ht="37.5" hidden="false" customHeight="true" outlineLevel="0" collapsed="false">
      <c r="A814" s="12" t="s">
        <v>2116</v>
      </c>
      <c r="B814" s="8" t="s">
        <v>2117</v>
      </c>
      <c r="C814" s="8" t="s">
        <v>3310</v>
      </c>
      <c r="D814" s="12" t="s">
        <v>1983</v>
      </c>
      <c r="E814" s="8" t="s">
        <v>3100</v>
      </c>
      <c r="F814" s="8" t="s">
        <v>3416</v>
      </c>
      <c r="G814" s="8" t="s">
        <v>3172</v>
      </c>
      <c r="H814" s="12" t="s">
        <v>810</v>
      </c>
      <c r="I814" s="8" t="s">
        <v>2213</v>
      </c>
      <c r="J814" s="8" t="s">
        <v>3423</v>
      </c>
      <c r="K814" s="8" t="s">
        <v>2215</v>
      </c>
    </row>
    <row r="815" customFormat="false" ht="24.75" hidden="false" customHeight="true" outlineLevel="0" collapsed="false">
      <c r="A815" s="12" t="s">
        <v>2116</v>
      </c>
      <c r="B815" s="8" t="s">
        <v>2117</v>
      </c>
      <c r="C815" s="8" t="s">
        <v>3310</v>
      </c>
      <c r="D815" s="12" t="s">
        <v>1983</v>
      </c>
      <c r="E815" s="8" t="s">
        <v>3100</v>
      </c>
      <c r="F815" s="8" t="s">
        <v>3335</v>
      </c>
      <c r="G815" s="8" t="s">
        <v>3172</v>
      </c>
      <c r="H815" s="12" t="s">
        <v>810</v>
      </c>
      <c r="I815" s="8" t="s">
        <v>2213</v>
      </c>
      <c r="J815" s="8" t="s">
        <v>3424</v>
      </c>
      <c r="K815" s="8" t="s">
        <v>2215</v>
      </c>
    </row>
    <row r="816" customFormat="false" ht="24.75" hidden="false" customHeight="true" outlineLevel="0" collapsed="false">
      <c r="A816" s="12" t="s">
        <v>2116</v>
      </c>
      <c r="B816" s="8" t="s">
        <v>2117</v>
      </c>
      <c r="C816" s="8" t="s">
        <v>3310</v>
      </c>
      <c r="D816" s="12" t="s">
        <v>1983</v>
      </c>
      <c r="E816" s="8" t="s">
        <v>3100</v>
      </c>
      <c r="F816" s="8" t="s">
        <v>3335</v>
      </c>
      <c r="G816" s="8" t="s">
        <v>3172</v>
      </c>
      <c r="H816" s="12" t="s">
        <v>810</v>
      </c>
      <c r="I816" s="8" t="s">
        <v>2213</v>
      </c>
      <c r="J816" s="8" t="s">
        <v>3425</v>
      </c>
      <c r="K816" s="8" t="s">
        <v>2215</v>
      </c>
    </row>
    <row r="817" customFormat="false" ht="24.75" hidden="false" customHeight="true" outlineLevel="0" collapsed="false">
      <c r="A817" s="12" t="s">
        <v>2120</v>
      </c>
      <c r="B817" s="8" t="s">
        <v>2123</v>
      </c>
      <c r="C817" s="8" t="s">
        <v>3310</v>
      </c>
      <c r="D817" s="12" t="s">
        <v>1982</v>
      </c>
      <c r="E817" s="8" t="s">
        <v>2703</v>
      </c>
      <c r="F817" s="8" t="s">
        <v>2704</v>
      </c>
      <c r="G817" s="8" t="s">
        <v>2705</v>
      </c>
      <c r="H817" s="12" t="s">
        <v>195</v>
      </c>
      <c r="I817" s="8" t="s">
        <v>2213</v>
      </c>
      <c r="J817" s="8" t="s">
        <v>2707</v>
      </c>
      <c r="K817" s="8" t="s">
        <v>2215</v>
      </c>
    </row>
    <row r="818" customFormat="false" ht="24.75" hidden="false" customHeight="true" outlineLevel="0" collapsed="false">
      <c r="A818" s="12" t="s">
        <v>2120</v>
      </c>
      <c r="B818" s="8" t="s">
        <v>2123</v>
      </c>
      <c r="C818" s="8" t="s">
        <v>3310</v>
      </c>
      <c r="D818" s="12" t="s">
        <v>1983</v>
      </c>
      <c r="E818" s="8" t="s">
        <v>3100</v>
      </c>
      <c r="F818" s="8" t="s">
        <v>3329</v>
      </c>
      <c r="G818" s="8" t="s">
        <v>3172</v>
      </c>
      <c r="H818" s="12" t="s">
        <v>810</v>
      </c>
      <c r="I818" s="8" t="s">
        <v>2213</v>
      </c>
      <c r="J818" s="8" t="s">
        <v>3426</v>
      </c>
      <c r="K818" s="8" t="s">
        <v>2215</v>
      </c>
    </row>
    <row r="819" customFormat="false" ht="24.75" hidden="false" customHeight="true" outlineLevel="0" collapsed="false">
      <c r="A819" s="12" t="s">
        <v>2120</v>
      </c>
      <c r="B819" s="8" t="s">
        <v>2123</v>
      </c>
      <c r="C819" s="8" t="s">
        <v>3310</v>
      </c>
      <c r="D819" s="12" t="s">
        <v>1983</v>
      </c>
      <c r="E819" s="8" t="s">
        <v>3100</v>
      </c>
      <c r="F819" s="8" t="s">
        <v>3329</v>
      </c>
      <c r="G819" s="8" t="s">
        <v>3172</v>
      </c>
      <c r="H819" s="12" t="s">
        <v>810</v>
      </c>
      <c r="I819" s="8" t="s">
        <v>2213</v>
      </c>
      <c r="J819" s="8" t="s">
        <v>3427</v>
      </c>
      <c r="K819" s="8" t="s">
        <v>2215</v>
      </c>
    </row>
    <row r="820" customFormat="false" ht="24.75" hidden="false" customHeight="true" outlineLevel="0" collapsed="false">
      <c r="A820" s="12" t="s">
        <v>2120</v>
      </c>
      <c r="B820" s="8" t="s">
        <v>2123</v>
      </c>
      <c r="C820" s="8" t="s">
        <v>3310</v>
      </c>
      <c r="D820" s="12" t="s">
        <v>1983</v>
      </c>
      <c r="E820" s="8" t="s">
        <v>3100</v>
      </c>
      <c r="F820" s="8" t="s">
        <v>3329</v>
      </c>
      <c r="G820" s="8" t="s">
        <v>3172</v>
      </c>
      <c r="H820" s="12" t="s">
        <v>810</v>
      </c>
      <c r="I820" s="8" t="s">
        <v>2213</v>
      </c>
      <c r="J820" s="8" t="s">
        <v>3428</v>
      </c>
      <c r="K820" s="8" t="s">
        <v>2215</v>
      </c>
    </row>
    <row r="821" customFormat="false" ht="24.75" hidden="false" customHeight="true" outlineLevel="0" collapsed="false">
      <c r="A821" s="12" t="s">
        <v>2127</v>
      </c>
      <c r="B821" s="8" t="s">
        <v>2129</v>
      </c>
      <c r="C821" s="8" t="s">
        <v>3310</v>
      </c>
      <c r="D821" s="12" t="s">
        <v>1983</v>
      </c>
      <c r="E821" s="8" t="s">
        <v>3100</v>
      </c>
      <c r="F821" s="8" t="s">
        <v>3329</v>
      </c>
      <c r="G821" s="8" t="s">
        <v>3172</v>
      </c>
      <c r="H821" s="12" t="s">
        <v>810</v>
      </c>
      <c r="I821" s="8" t="s">
        <v>2213</v>
      </c>
      <c r="J821" s="8" t="s">
        <v>3429</v>
      </c>
      <c r="K821" s="8" t="s">
        <v>2215</v>
      </c>
    </row>
    <row r="822" customFormat="false" ht="24.75" hidden="false" customHeight="true" outlineLevel="0" collapsed="false">
      <c r="A822" s="12" t="s">
        <v>2127</v>
      </c>
      <c r="B822" s="8" t="s">
        <v>2129</v>
      </c>
      <c r="C822" s="8" t="s">
        <v>3310</v>
      </c>
      <c r="D822" s="12" t="s">
        <v>1983</v>
      </c>
      <c r="E822" s="8" t="s">
        <v>3100</v>
      </c>
      <c r="F822" s="8" t="s">
        <v>3329</v>
      </c>
      <c r="G822" s="8" t="s">
        <v>3172</v>
      </c>
      <c r="H822" s="12" t="s">
        <v>810</v>
      </c>
      <c r="I822" s="8" t="s">
        <v>2213</v>
      </c>
      <c r="J822" s="8" t="s">
        <v>3430</v>
      </c>
      <c r="K822" s="8" t="s">
        <v>2215</v>
      </c>
    </row>
    <row r="823" customFormat="false" ht="24.75" hidden="false" customHeight="true" outlineLevel="0" collapsed="false">
      <c r="A823" s="12" t="s">
        <v>2127</v>
      </c>
      <c r="B823" s="8" t="s">
        <v>2129</v>
      </c>
      <c r="C823" s="8" t="s">
        <v>3310</v>
      </c>
      <c r="D823" s="12" t="s">
        <v>1983</v>
      </c>
      <c r="E823" s="8" t="s">
        <v>3100</v>
      </c>
      <c r="F823" s="8" t="s">
        <v>3329</v>
      </c>
      <c r="G823" s="8" t="s">
        <v>3172</v>
      </c>
      <c r="H823" s="12" t="s">
        <v>810</v>
      </c>
      <c r="I823" s="8" t="s">
        <v>2213</v>
      </c>
      <c r="J823" s="8" t="s">
        <v>3431</v>
      </c>
      <c r="K823" s="8" t="s">
        <v>2215</v>
      </c>
    </row>
    <row r="824" customFormat="false" ht="24.75" hidden="false" customHeight="true" outlineLevel="0" collapsed="false">
      <c r="A824" s="12" t="s">
        <v>2127</v>
      </c>
      <c r="B824" s="8" t="s">
        <v>2129</v>
      </c>
      <c r="C824" s="8" t="s">
        <v>3310</v>
      </c>
      <c r="D824" s="12" t="s">
        <v>1983</v>
      </c>
      <c r="E824" s="8" t="s">
        <v>3100</v>
      </c>
      <c r="F824" s="8" t="s">
        <v>3329</v>
      </c>
      <c r="G824" s="8" t="s">
        <v>3172</v>
      </c>
      <c r="H824" s="12" t="s">
        <v>810</v>
      </c>
      <c r="I824" s="8" t="s">
        <v>2213</v>
      </c>
      <c r="J824" s="8" t="s">
        <v>3432</v>
      </c>
      <c r="K824" s="8" t="s">
        <v>2215</v>
      </c>
    </row>
    <row r="825" customFormat="false" ht="24.75" hidden="false" customHeight="true" outlineLevel="0" collapsed="false">
      <c r="A825" s="12" t="s">
        <v>2132</v>
      </c>
      <c r="B825" s="8" t="s">
        <v>2133</v>
      </c>
      <c r="C825" s="8" t="s">
        <v>3310</v>
      </c>
      <c r="D825" s="12" t="s">
        <v>1983</v>
      </c>
      <c r="E825" s="8" t="s">
        <v>3100</v>
      </c>
      <c r="F825" s="8" t="s">
        <v>3329</v>
      </c>
      <c r="G825" s="8" t="s">
        <v>3172</v>
      </c>
      <c r="H825" s="12" t="s">
        <v>810</v>
      </c>
      <c r="I825" s="8" t="s">
        <v>2213</v>
      </c>
      <c r="J825" s="8" t="s">
        <v>3433</v>
      </c>
      <c r="K825" s="8" t="s">
        <v>2215</v>
      </c>
    </row>
    <row r="826" customFormat="false" ht="24.75" hidden="false" customHeight="true" outlineLevel="0" collapsed="false">
      <c r="A826" s="12" t="s">
        <v>2132</v>
      </c>
      <c r="B826" s="8" t="s">
        <v>2133</v>
      </c>
      <c r="C826" s="8" t="s">
        <v>3310</v>
      </c>
      <c r="D826" s="12" t="s">
        <v>1983</v>
      </c>
      <c r="E826" s="8" t="s">
        <v>3100</v>
      </c>
      <c r="F826" s="8" t="s">
        <v>3329</v>
      </c>
      <c r="G826" s="8" t="s">
        <v>3172</v>
      </c>
      <c r="H826" s="12" t="s">
        <v>810</v>
      </c>
      <c r="I826" s="8" t="s">
        <v>2213</v>
      </c>
      <c r="J826" s="8" t="s">
        <v>3434</v>
      </c>
      <c r="K826" s="8" t="s">
        <v>2215</v>
      </c>
    </row>
    <row r="827" customFormat="false" ht="24.75" hidden="false" customHeight="true" outlineLevel="0" collapsed="false">
      <c r="A827" s="12" t="s">
        <v>2136</v>
      </c>
      <c r="B827" s="8" t="s">
        <v>2139</v>
      </c>
      <c r="C827" s="8" t="s">
        <v>3310</v>
      </c>
      <c r="D827" s="12" t="s">
        <v>176</v>
      </c>
      <c r="E827" s="8" t="s">
        <v>2481</v>
      </c>
      <c r="F827" s="8" t="s">
        <v>3435</v>
      </c>
      <c r="G827" s="8" t="s">
        <v>2648</v>
      </c>
      <c r="H827" s="12" t="s">
        <v>232</v>
      </c>
      <c r="I827" s="8" t="s">
        <v>2213</v>
      </c>
      <c r="J827" s="8" t="s">
        <v>3436</v>
      </c>
      <c r="K827" s="8" t="s">
        <v>2485</v>
      </c>
    </row>
    <row r="828" customFormat="false" ht="24.75" hidden="false" customHeight="true" outlineLevel="0" collapsed="false">
      <c r="A828" s="12" t="s">
        <v>2136</v>
      </c>
      <c r="B828" s="8" t="s">
        <v>2139</v>
      </c>
      <c r="C828" s="8" t="s">
        <v>3310</v>
      </c>
      <c r="D828" s="12" t="s">
        <v>1983</v>
      </c>
      <c r="E828" s="8" t="s">
        <v>3100</v>
      </c>
      <c r="F828" s="8" t="s">
        <v>3327</v>
      </c>
      <c r="G828" s="8" t="s">
        <v>3102</v>
      </c>
      <c r="H828" s="12" t="s">
        <v>194</v>
      </c>
      <c r="I828" s="8" t="s">
        <v>2213</v>
      </c>
      <c r="J828" s="8" t="s">
        <v>3437</v>
      </c>
      <c r="K828" s="8" t="s">
        <v>2215</v>
      </c>
    </row>
    <row r="829" customFormat="false" ht="24.75" hidden="false" customHeight="true" outlineLevel="0" collapsed="false">
      <c r="A829" s="12" t="s">
        <v>2136</v>
      </c>
      <c r="B829" s="8" t="s">
        <v>2139</v>
      </c>
      <c r="C829" s="8" t="s">
        <v>3310</v>
      </c>
      <c r="D829" s="12" t="s">
        <v>1983</v>
      </c>
      <c r="E829" s="8" t="s">
        <v>3100</v>
      </c>
      <c r="F829" s="8" t="s">
        <v>3329</v>
      </c>
      <c r="G829" s="8" t="s">
        <v>3172</v>
      </c>
      <c r="H829" s="12" t="s">
        <v>810</v>
      </c>
      <c r="I829" s="8" t="s">
        <v>2213</v>
      </c>
      <c r="J829" s="8" t="s">
        <v>3438</v>
      </c>
      <c r="K829" s="8" t="s">
        <v>2215</v>
      </c>
    </row>
    <row r="830" customFormat="false" ht="24.75" hidden="false" customHeight="true" outlineLevel="0" collapsed="false">
      <c r="A830" s="12" t="s">
        <v>2136</v>
      </c>
      <c r="B830" s="8" t="s">
        <v>2139</v>
      </c>
      <c r="C830" s="8" t="s">
        <v>3310</v>
      </c>
      <c r="D830" s="12" t="s">
        <v>1984</v>
      </c>
      <c r="E830" s="8" t="s">
        <v>2997</v>
      </c>
      <c r="F830" s="8" t="s">
        <v>3318</v>
      </c>
      <c r="G830" s="8" t="s">
        <v>2483</v>
      </c>
      <c r="H830" s="12" t="s">
        <v>194</v>
      </c>
      <c r="I830" s="8" t="s">
        <v>2213</v>
      </c>
      <c r="J830" s="8" t="s">
        <v>3319</v>
      </c>
      <c r="K830" s="8" t="s">
        <v>2215</v>
      </c>
    </row>
    <row r="831" customFormat="false" ht="24.75" hidden="false" customHeight="true" outlineLevel="0" collapsed="false">
      <c r="A831" s="12" t="s">
        <v>2143</v>
      </c>
      <c r="B831" s="8" t="s">
        <v>2145</v>
      </c>
      <c r="C831" s="8" t="s">
        <v>3310</v>
      </c>
      <c r="D831" s="12" t="s">
        <v>1982</v>
      </c>
      <c r="E831" s="8" t="s">
        <v>2703</v>
      </c>
      <c r="F831" s="8" t="s">
        <v>2704</v>
      </c>
      <c r="G831" s="8" t="s">
        <v>2705</v>
      </c>
      <c r="H831" s="12" t="s">
        <v>195</v>
      </c>
      <c r="I831" s="8" t="s">
        <v>2213</v>
      </c>
      <c r="J831" s="8" t="s">
        <v>3439</v>
      </c>
      <c r="K831" s="8" t="s">
        <v>2215</v>
      </c>
    </row>
    <row r="832" customFormat="false" ht="37.5" hidden="false" customHeight="true" outlineLevel="0" collapsed="false">
      <c r="A832" s="12" t="s">
        <v>2143</v>
      </c>
      <c r="B832" s="8" t="s">
        <v>2145</v>
      </c>
      <c r="C832" s="8" t="s">
        <v>3310</v>
      </c>
      <c r="D832" s="12" t="s">
        <v>1982</v>
      </c>
      <c r="E832" s="8" t="s">
        <v>2703</v>
      </c>
      <c r="F832" s="8" t="s">
        <v>2704</v>
      </c>
      <c r="G832" s="8" t="s">
        <v>2705</v>
      </c>
      <c r="H832" s="12" t="s">
        <v>195</v>
      </c>
      <c r="I832" s="8" t="s">
        <v>2213</v>
      </c>
      <c r="J832" s="8" t="s">
        <v>3440</v>
      </c>
      <c r="K832" s="8" t="s">
        <v>2215</v>
      </c>
    </row>
    <row r="833" customFormat="false" ht="24.75" hidden="false" customHeight="true" outlineLevel="0" collapsed="false">
      <c r="A833" s="12" t="s">
        <v>2148</v>
      </c>
      <c r="B833" s="8" t="s">
        <v>2150</v>
      </c>
      <c r="C833" s="8" t="s">
        <v>3310</v>
      </c>
      <c r="D833" s="12" t="s">
        <v>1983</v>
      </c>
      <c r="E833" s="8" t="s">
        <v>3100</v>
      </c>
      <c r="F833" s="8" t="s">
        <v>3441</v>
      </c>
      <c r="G833" s="8" t="s">
        <v>3102</v>
      </c>
      <c r="H833" s="12" t="s">
        <v>194</v>
      </c>
      <c r="I833" s="8" t="s">
        <v>2213</v>
      </c>
      <c r="J833" s="8" t="s">
        <v>3442</v>
      </c>
      <c r="K833" s="8" t="s">
        <v>2215</v>
      </c>
    </row>
    <row r="834" customFormat="false" ht="24.75" hidden="false" customHeight="true" outlineLevel="0" collapsed="false">
      <c r="A834" s="12" t="s">
        <v>2148</v>
      </c>
      <c r="B834" s="8" t="s">
        <v>2150</v>
      </c>
      <c r="C834" s="8" t="s">
        <v>3310</v>
      </c>
      <c r="D834" s="12" t="s">
        <v>1983</v>
      </c>
      <c r="E834" s="8" t="s">
        <v>3100</v>
      </c>
      <c r="F834" s="8" t="s">
        <v>3441</v>
      </c>
      <c r="G834" s="8" t="s">
        <v>3102</v>
      </c>
      <c r="H834" s="12" t="s">
        <v>194</v>
      </c>
      <c r="I834" s="8" t="s">
        <v>2213</v>
      </c>
      <c r="J834" s="8" t="s">
        <v>3443</v>
      </c>
      <c r="K834" s="8" t="s">
        <v>2215</v>
      </c>
    </row>
    <row r="835" customFormat="false" ht="24.75" hidden="false" customHeight="true" outlineLevel="0" collapsed="false">
      <c r="A835" s="12" t="s">
        <v>2148</v>
      </c>
      <c r="B835" s="8" t="s">
        <v>2150</v>
      </c>
      <c r="C835" s="8" t="s">
        <v>3310</v>
      </c>
      <c r="D835" s="12" t="s">
        <v>1983</v>
      </c>
      <c r="E835" s="8" t="s">
        <v>3100</v>
      </c>
      <c r="F835" s="8" t="s">
        <v>3441</v>
      </c>
      <c r="G835" s="8" t="s">
        <v>3102</v>
      </c>
      <c r="H835" s="12" t="s">
        <v>194</v>
      </c>
      <c r="I835" s="8" t="s">
        <v>2213</v>
      </c>
      <c r="J835" s="8" t="s">
        <v>3444</v>
      </c>
      <c r="K835" s="8" t="s">
        <v>2215</v>
      </c>
    </row>
    <row r="836" customFormat="false" ht="24.75" hidden="false" customHeight="true" outlineLevel="0" collapsed="false">
      <c r="A836" s="12" t="s">
        <v>2148</v>
      </c>
      <c r="B836" s="8" t="s">
        <v>2150</v>
      </c>
      <c r="C836" s="8" t="s">
        <v>3310</v>
      </c>
      <c r="D836" s="12" t="s">
        <v>1983</v>
      </c>
      <c r="E836" s="8" t="s">
        <v>3100</v>
      </c>
      <c r="F836" s="8" t="s">
        <v>3441</v>
      </c>
      <c r="G836" s="8" t="s">
        <v>3102</v>
      </c>
      <c r="H836" s="12" t="s">
        <v>194</v>
      </c>
      <c r="I836" s="8" t="s">
        <v>2213</v>
      </c>
      <c r="J836" s="8" t="s">
        <v>3445</v>
      </c>
      <c r="K836" s="8" t="s">
        <v>2215</v>
      </c>
    </row>
    <row r="837" customFormat="false" ht="24.75" hidden="false" customHeight="true" outlineLevel="0" collapsed="false">
      <c r="A837" s="12" t="s">
        <v>2148</v>
      </c>
      <c r="B837" s="8" t="s">
        <v>2150</v>
      </c>
      <c r="C837" s="8" t="s">
        <v>3310</v>
      </c>
      <c r="D837" s="12" t="s">
        <v>1983</v>
      </c>
      <c r="E837" s="8" t="s">
        <v>3100</v>
      </c>
      <c r="F837" s="8" t="s">
        <v>3441</v>
      </c>
      <c r="G837" s="8" t="s">
        <v>3102</v>
      </c>
      <c r="H837" s="12" t="s">
        <v>194</v>
      </c>
      <c r="I837" s="8" t="s">
        <v>2213</v>
      </c>
      <c r="J837" s="8" t="s">
        <v>3446</v>
      </c>
      <c r="K837" s="8" t="s">
        <v>2215</v>
      </c>
    </row>
    <row r="838" customFormat="false" ht="24.75" hidden="false" customHeight="true" outlineLevel="0" collapsed="false">
      <c r="A838" s="12" t="s">
        <v>2148</v>
      </c>
      <c r="B838" s="8" t="s">
        <v>2150</v>
      </c>
      <c r="C838" s="8" t="s">
        <v>3310</v>
      </c>
      <c r="D838" s="12" t="s">
        <v>1983</v>
      </c>
      <c r="E838" s="8" t="s">
        <v>3100</v>
      </c>
      <c r="F838" s="8" t="s">
        <v>3441</v>
      </c>
      <c r="G838" s="8" t="s">
        <v>3102</v>
      </c>
      <c r="H838" s="12" t="s">
        <v>194</v>
      </c>
      <c r="I838" s="8" t="s">
        <v>2213</v>
      </c>
      <c r="J838" s="8" t="s">
        <v>3447</v>
      </c>
      <c r="K838" s="8" t="s">
        <v>2215</v>
      </c>
    </row>
    <row r="839" customFormat="false" ht="24.75" hidden="false" customHeight="true" outlineLevel="0" collapsed="false">
      <c r="A839" s="12" t="s">
        <v>2148</v>
      </c>
      <c r="B839" s="8" t="s">
        <v>2150</v>
      </c>
      <c r="C839" s="8" t="s">
        <v>3310</v>
      </c>
      <c r="D839" s="12" t="s">
        <v>1983</v>
      </c>
      <c r="E839" s="8" t="s">
        <v>3100</v>
      </c>
      <c r="F839" s="8" t="s">
        <v>3441</v>
      </c>
      <c r="G839" s="8" t="s">
        <v>3102</v>
      </c>
      <c r="H839" s="12" t="s">
        <v>194</v>
      </c>
      <c r="I839" s="8" t="s">
        <v>2213</v>
      </c>
      <c r="J839" s="8" t="s">
        <v>3448</v>
      </c>
      <c r="K839" s="8" t="s">
        <v>2215</v>
      </c>
    </row>
    <row r="840" customFormat="false" ht="24.75" hidden="false" customHeight="true" outlineLevel="0" collapsed="false">
      <c r="A840" s="12" t="s">
        <v>2153</v>
      </c>
      <c r="B840" s="8" t="s">
        <v>2154</v>
      </c>
      <c r="C840" s="8" t="s">
        <v>3310</v>
      </c>
      <c r="D840" s="12" t="s">
        <v>1983</v>
      </c>
      <c r="E840" s="8" t="s">
        <v>3100</v>
      </c>
      <c r="F840" s="8" t="s">
        <v>3449</v>
      </c>
      <c r="G840" s="8" t="s">
        <v>3172</v>
      </c>
      <c r="H840" s="12" t="s">
        <v>810</v>
      </c>
      <c r="I840" s="8" t="s">
        <v>2213</v>
      </c>
      <c r="J840" s="8" t="s">
        <v>3450</v>
      </c>
      <c r="K840" s="8" t="s">
        <v>2215</v>
      </c>
    </row>
    <row r="841" customFormat="false" ht="24.75" hidden="false" customHeight="true" outlineLevel="0" collapsed="false">
      <c r="A841" s="12" t="s">
        <v>2153</v>
      </c>
      <c r="B841" s="8" t="s">
        <v>2154</v>
      </c>
      <c r="C841" s="8" t="s">
        <v>3310</v>
      </c>
      <c r="D841" s="12" t="s">
        <v>1983</v>
      </c>
      <c r="E841" s="8" t="s">
        <v>3100</v>
      </c>
      <c r="F841" s="8" t="s">
        <v>3449</v>
      </c>
      <c r="G841" s="8" t="s">
        <v>3172</v>
      </c>
      <c r="H841" s="12" t="s">
        <v>810</v>
      </c>
      <c r="I841" s="8" t="s">
        <v>2213</v>
      </c>
      <c r="J841" s="8" t="s">
        <v>3451</v>
      </c>
      <c r="K841" s="8" t="s">
        <v>2215</v>
      </c>
    </row>
    <row r="842" customFormat="false" ht="49.5" hidden="false" customHeight="true" outlineLevel="0" collapsed="false">
      <c r="A842" s="12" t="s">
        <v>2153</v>
      </c>
      <c r="B842" s="8" t="s">
        <v>2154</v>
      </c>
      <c r="C842" s="8" t="s">
        <v>3310</v>
      </c>
      <c r="D842" s="12" t="s">
        <v>1983</v>
      </c>
      <c r="E842" s="8" t="s">
        <v>3100</v>
      </c>
      <c r="F842" s="8" t="s">
        <v>3449</v>
      </c>
      <c r="G842" s="8" t="s">
        <v>3172</v>
      </c>
      <c r="H842" s="12" t="s">
        <v>810</v>
      </c>
      <c r="I842" s="8" t="s">
        <v>2213</v>
      </c>
      <c r="J842" s="8" t="s">
        <v>3452</v>
      </c>
      <c r="K842" s="8" t="s">
        <v>2215</v>
      </c>
    </row>
    <row r="843" customFormat="false" ht="24.75" hidden="false" customHeight="true" outlineLevel="0" collapsed="false">
      <c r="A843" s="12" t="s">
        <v>2157</v>
      </c>
      <c r="B843" s="8" t="s">
        <v>2160</v>
      </c>
      <c r="C843" s="8" t="s">
        <v>3310</v>
      </c>
      <c r="D843" s="12" t="s">
        <v>1984</v>
      </c>
      <c r="E843" s="8" t="s">
        <v>2997</v>
      </c>
      <c r="F843" s="8" t="s">
        <v>3453</v>
      </c>
      <c r="G843" s="8" t="s">
        <v>2483</v>
      </c>
      <c r="H843" s="12" t="s">
        <v>194</v>
      </c>
      <c r="I843" s="8" t="s">
        <v>2213</v>
      </c>
      <c r="J843" s="8" t="s">
        <v>3454</v>
      </c>
      <c r="K843" s="8" t="s">
        <v>2215</v>
      </c>
    </row>
    <row r="844" customFormat="false" ht="24.75" hidden="false" customHeight="true" outlineLevel="0" collapsed="false">
      <c r="A844" s="12" t="s">
        <v>2163</v>
      </c>
      <c r="B844" s="8" t="s">
        <v>2165</v>
      </c>
      <c r="C844" s="8" t="s">
        <v>3310</v>
      </c>
      <c r="D844" s="12" t="s">
        <v>1984</v>
      </c>
      <c r="E844" s="8" t="s">
        <v>2997</v>
      </c>
      <c r="F844" s="8" t="s">
        <v>3455</v>
      </c>
      <c r="G844" s="8" t="s">
        <v>2483</v>
      </c>
      <c r="H844" s="12" t="s">
        <v>194</v>
      </c>
      <c r="I844" s="8" t="s">
        <v>2213</v>
      </c>
      <c r="J844" s="8" t="s">
        <v>3456</v>
      </c>
      <c r="K844" s="8" t="s">
        <v>2215</v>
      </c>
    </row>
    <row r="845" customFormat="false" ht="24.75" hidden="false" customHeight="true" outlineLevel="0" collapsed="false">
      <c r="A845" s="12" t="s">
        <v>2163</v>
      </c>
      <c r="B845" s="8" t="s">
        <v>2165</v>
      </c>
      <c r="C845" s="8" t="s">
        <v>3310</v>
      </c>
      <c r="D845" s="12" t="s">
        <v>1984</v>
      </c>
      <c r="E845" s="8" t="s">
        <v>2997</v>
      </c>
      <c r="F845" s="8" t="s">
        <v>3457</v>
      </c>
      <c r="G845" s="8" t="s">
        <v>3458</v>
      </c>
      <c r="H845" s="12" t="s">
        <v>195</v>
      </c>
      <c r="I845" s="8" t="s">
        <v>2213</v>
      </c>
      <c r="J845" s="8" t="s">
        <v>3459</v>
      </c>
      <c r="K845" s="8" t="s">
        <v>2215</v>
      </c>
    </row>
    <row r="846" customFormat="false" ht="24.75" hidden="false" customHeight="true" outlineLevel="0" collapsed="false">
      <c r="A846" s="12" t="s">
        <v>2163</v>
      </c>
      <c r="B846" s="8" t="s">
        <v>2165</v>
      </c>
      <c r="C846" s="8" t="s">
        <v>3310</v>
      </c>
      <c r="D846" s="12" t="s">
        <v>1984</v>
      </c>
      <c r="E846" s="8" t="s">
        <v>2997</v>
      </c>
      <c r="F846" s="8" t="s">
        <v>3460</v>
      </c>
      <c r="G846" s="8" t="s">
        <v>3458</v>
      </c>
      <c r="H846" s="12" t="s">
        <v>195</v>
      </c>
      <c r="I846" s="8" t="s">
        <v>2213</v>
      </c>
      <c r="J846" s="8" t="s">
        <v>3461</v>
      </c>
      <c r="K846" s="8" t="s">
        <v>2215</v>
      </c>
    </row>
    <row r="847" customFormat="false" ht="24.75" hidden="false" customHeight="true" outlineLevel="0" collapsed="false">
      <c r="A847" s="12" t="s">
        <v>2163</v>
      </c>
      <c r="B847" s="8" t="s">
        <v>2165</v>
      </c>
      <c r="C847" s="8" t="s">
        <v>3310</v>
      </c>
      <c r="D847" s="12" t="s">
        <v>1984</v>
      </c>
      <c r="E847" s="8" t="s">
        <v>2997</v>
      </c>
      <c r="F847" s="8" t="s">
        <v>3462</v>
      </c>
      <c r="G847" s="8" t="s">
        <v>3458</v>
      </c>
      <c r="H847" s="12" t="s">
        <v>195</v>
      </c>
      <c r="I847" s="8" t="s">
        <v>2213</v>
      </c>
      <c r="J847" s="8" t="s">
        <v>3463</v>
      </c>
      <c r="K847" s="8" t="s">
        <v>2215</v>
      </c>
    </row>
    <row r="848" customFormat="false" ht="24.75" hidden="false" customHeight="true" outlineLevel="0" collapsed="false">
      <c r="A848" s="12" t="s">
        <v>2163</v>
      </c>
      <c r="B848" s="8" t="s">
        <v>2165</v>
      </c>
      <c r="C848" s="8" t="s">
        <v>3310</v>
      </c>
      <c r="D848" s="12" t="s">
        <v>1984</v>
      </c>
      <c r="E848" s="8" t="s">
        <v>2997</v>
      </c>
      <c r="F848" s="8" t="s">
        <v>3464</v>
      </c>
      <c r="G848" s="8" t="s">
        <v>3458</v>
      </c>
      <c r="H848" s="12" t="s">
        <v>195</v>
      </c>
      <c r="I848" s="8" t="s">
        <v>2213</v>
      </c>
      <c r="J848" s="8" t="s">
        <v>3465</v>
      </c>
      <c r="K848" s="8" t="s">
        <v>2215</v>
      </c>
    </row>
    <row r="849" customFormat="false" ht="24.75" hidden="false" customHeight="true" outlineLevel="0" collapsed="false">
      <c r="A849" s="12" t="s">
        <v>2163</v>
      </c>
      <c r="B849" s="8" t="s">
        <v>2165</v>
      </c>
      <c r="C849" s="8" t="s">
        <v>3310</v>
      </c>
      <c r="D849" s="12" t="s">
        <v>1984</v>
      </c>
      <c r="E849" s="8" t="s">
        <v>2997</v>
      </c>
      <c r="F849" s="8" t="s">
        <v>3466</v>
      </c>
      <c r="G849" s="8" t="s">
        <v>3458</v>
      </c>
      <c r="H849" s="12" t="s">
        <v>195</v>
      </c>
      <c r="I849" s="8" t="s">
        <v>2213</v>
      </c>
      <c r="J849" s="8" t="s">
        <v>3467</v>
      </c>
      <c r="K849" s="8" t="s">
        <v>2215</v>
      </c>
    </row>
    <row r="850" customFormat="false" ht="24.75" hidden="false" customHeight="true" outlineLevel="0" collapsed="false">
      <c r="A850" s="12" t="s">
        <v>2163</v>
      </c>
      <c r="B850" s="8" t="s">
        <v>2165</v>
      </c>
      <c r="C850" s="8" t="s">
        <v>3310</v>
      </c>
      <c r="D850" s="12" t="s">
        <v>1984</v>
      </c>
      <c r="E850" s="8" t="s">
        <v>2997</v>
      </c>
      <c r="F850" s="8" t="s">
        <v>3468</v>
      </c>
      <c r="G850" s="8" t="s">
        <v>3458</v>
      </c>
      <c r="H850" s="12" t="s">
        <v>195</v>
      </c>
      <c r="I850" s="8" t="s">
        <v>2213</v>
      </c>
      <c r="J850" s="8" t="s">
        <v>3469</v>
      </c>
      <c r="K850" s="8" t="s">
        <v>2215</v>
      </c>
    </row>
    <row r="851" customFormat="false" ht="24.75" hidden="false" customHeight="true" outlineLevel="0" collapsed="false">
      <c r="A851" s="12" t="s">
        <v>2163</v>
      </c>
      <c r="B851" s="8" t="s">
        <v>2165</v>
      </c>
      <c r="C851" s="8" t="s">
        <v>3310</v>
      </c>
      <c r="D851" s="12" t="s">
        <v>1984</v>
      </c>
      <c r="E851" s="8" t="s">
        <v>2997</v>
      </c>
      <c r="F851" s="8" t="s">
        <v>3470</v>
      </c>
      <c r="G851" s="8" t="s">
        <v>3458</v>
      </c>
      <c r="H851" s="12" t="s">
        <v>195</v>
      </c>
      <c r="I851" s="8" t="s">
        <v>2213</v>
      </c>
      <c r="J851" s="8" t="s">
        <v>3471</v>
      </c>
      <c r="K851" s="8" t="s">
        <v>2215</v>
      </c>
    </row>
    <row r="852" customFormat="false" ht="24.75" hidden="false" customHeight="true" outlineLevel="0" collapsed="false">
      <c r="A852" s="12" t="s">
        <v>2163</v>
      </c>
      <c r="B852" s="8" t="s">
        <v>2165</v>
      </c>
      <c r="C852" s="8" t="s">
        <v>3310</v>
      </c>
      <c r="D852" s="12" t="s">
        <v>1984</v>
      </c>
      <c r="E852" s="8" t="s">
        <v>2997</v>
      </c>
      <c r="F852" s="8" t="s">
        <v>3472</v>
      </c>
      <c r="G852" s="8" t="s">
        <v>3458</v>
      </c>
      <c r="H852" s="12" t="s">
        <v>195</v>
      </c>
      <c r="I852" s="8" t="s">
        <v>2213</v>
      </c>
      <c r="J852" s="8" t="s">
        <v>3473</v>
      </c>
      <c r="K852" s="8" t="s">
        <v>2215</v>
      </c>
    </row>
    <row r="853" customFormat="false" ht="24.75" hidden="false" customHeight="true" outlineLevel="0" collapsed="false">
      <c r="A853" s="12" t="s">
        <v>2163</v>
      </c>
      <c r="B853" s="8" t="s">
        <v>2165</v>
      </c>
      <c r="C853" s="8" t="s">
        <v>3310</v>
      </c>
      <c r="D853" s="12" t="s">
        <v>1984</v>
      </c>
      <c r="E853" s="8" t="s">
        <v>2997</v>
      </c>
      <c r="F853" s="8" t="s">
        <v>3474</v>
      </c>
      <c r="G853" s="8" t="s">
        <v>3458</v>
      </c>
      <c r="H853" s="12" t="s">
        <v>195</v>
      </c>
      <c r="I853" s="8" t="s">
        <v>2213</v>
      </c>
      <c r="J853" s="8" t="s">
        <v>3475</v>
      </c>
      <c r="K853" s="8" t="s">
        <v>2215</v>
      </c>
    </row>
    <row r="854" customFormat="false" ht="24.75" hidden="false" customHeight="true" outlineLevel="0" collapsed="false">
      <c r="A854" s="12" t="s">
        <v>2163</v>
      </c>
      <c r="B854" s="8" t="s">
        <v>2165</v>
      </c>
      <c r="C854" s="8" t="s">
        <v>3310</v>
      </c>
      <c r="D854" s="12" t="s">
        <v>1984</v>
      </c>
      <c r="E854" s="8" t="s">
        <v>2997</v>
      </c>
      <c r="F854" s="8" t="s">
        <v>3476</v>
      </c>
      <c r="G854" s="8" t="s">
        <v>3458</v>
      </c>
      <c r="H854" s="12" t="s">
        <v>195</v>
      </c>
      <c r="I854" s="8" t="s">
        <v>2213</v>
      </c>
      <c r="J854" s="8" t="s">
        <v>3477</v>
      </c>
      <c r="K854" s="8" t="s">
        <v>2215</v>
      </c>
    </row>
    <row r="855" customFormat="false" ht="24.75" hidden="false" customHeight="true" outlineLevel="0" collapsed="false">
      <c r="A855" s="12" t="s">
        <v>2163</v>
      </c>
      <c r="B855" s="8" t="s">
        <v>2165</v>
      </c>
      <c r="C855" s="8" t="s">
        <v>3310</v>
      </c>
      <c r="D855" s="12" t="s">
        <v>1984</v>
      </c>
      <c r="E855" s="8" t="s">
        <v>2997</v>
      </c>
      <c r="F855" s="8" t="s">
        <v>3478</v>
      </c>
      <c r="G855" s="8" t="s">
        <v>3458</v>
      </c>
      <c r="H855" s="12" t="s">
        <v>195</v>
      </c>
      <c r="I855" s="8" t="s">
        <v>2213</v>
      </c>
      <c r="J855" s="8" t="s">
        <v>3479</v>
      </c>
      <c r="K855" s="8" t="s">
        <v>2215</v>
      </c>
    </row>
    <row r="856" customFormat="false" ht="24.75" hidden="false" customHeight="true" outlineLevel="0" collapsed="false">
      <c r="A856" s="12" t="s">
        <v>2163</v>
      </c>
      <c r="B856" s="8" t="s">
        <v>2165</v>
      </c>
      <c r="C856" s="8" t="s">
        <v>3310</v>
      </c>
      <c r="D856" s="12" t="s">
        <v>1984</v>
      </c>
      <c r="E856" s="8" t="s">
        <v>2997</v>
      </c>
      <c r="F856" s="8" t="s">
        <v>3480</v>
      </c>
      <c r="G856" s="8" t="s">
        <v>3458</v>
      </c>
      <c r="H856" s="12" t="s">
        <v>195</v>
      </c>
      <c r="I856" s="8" t="s">
        <v>2213</v>
      </c>
      <c r="J856" s="8" t="s">
        <v>3481</v>
      </c>
      <c r="K856" s="8" t="s">
        <v>2215</v>
      </c>
    </row>
    <row r="857" customFormat="false" ht="24.75" hidden="false" customHeight="true" outlineLevel="0" collapsed="false">
      <c r="A857" s="12" t="s">
        <v>2163</v>
      </c>
      <c r="B857" s="8" t="s">
        <v>2165</v>
      </c>
      <c r="C857" s="8" t="s">
        <v>3310</v>
      </c>
      <c r="D857" s="12" t="s">
        <v>1984</v>
      </c>
      <c r="E857" s="8" t="s">
        <v>2997</v>
      </c>
      <c r="F857" s="8" t="s">
        <v>3482</v>
      </c>
      <c r="G857" s="8" t="s">
        <v>3458</v>
      </c>
      <c r="H857" s="12" t="s">
        <v>195</v>
      </c>
      <c r="I857" s="8" t="s">
        <v>2213</v>
      </c>
      <c r="J857" s="8" t="s">
        <v>3483</v>
      </c>
      <c r="K857" s="8" t="s">
        <v>2215</v>
      </c>
    </row>
    <row r="858" customFormat="false" ht="24.75" hidden="false" customHeight="true" outlineLevel="0" collapsed="false">
      <c r="A858" s="12" t="s">
        <v>2169</v>
      </c>
      <c r="B858" s="8" t="s">
        <v>2170</v>
      </c>
      <c r="C858" s="8" t="s">
        <v>3310</v>
      </c>
      <c r="D858" s="12" t="s">
        <v>1984</v>
      </c>
      <c r="E858" s="8" t="s">
        <v>2997</v>
      </c>
      <c r="F858" s="8" t="s">
        <v>3484</v>
      </c>
      <c r="G858" s="8" t="s">
        <v>2483</v>
      </c>
      <c r="H858" s="12" t="s">
        <v>194</v>
      </c>
      <c r="I858" s="8" t="s">
        <v>2213</v>
      </c>
      <c r="J858" s="8" t="s">
        <v>3485</v>
      </c>
      <c r="K858" s="8" t="s">
        <v>2215</v>
      </c>
    </row>
    <row r="859" customFormat="false" ht="24.75" hidden="false" customHeight="true" outlineLevel="0" collapsed="false">
      <c r="A859" s="12" t="s">
        <v>2169</v>
      </c>
      <c r="B859" s="8" t="s">
        <v>2170</v>
      </c>
      <c r="C859" s="8" t="s">
        <v>3310</v>
      </c>
      <c r="D859" s="12" t="s">
        <v>1984</v>
      </c>
      <c r="E859" s="8" t="s">
        <v>2997</v>
      </c>
      <c r="F859" s="8" t="s">
        <v>3486</v>
      </c>
      <c r="G859" s="8" t="s">
        <v>2483</v>
      </c>
      <c r="H859" s="12" t="s">
        <v>194</v>
      </c>
      <c r="I859" s="8" t="s">
        <v>2213</v>
      </c>
      <c r="J859" s="8" t="s">
        <v>3487</v>
      </c>
      <c r="K859" s="8" t="s">
        <v>2215</v>
      </c>
    </row>
    <row r="860" customFormat="false" ht="24.75" hidden="false" customHeight="true" outlineLevel="0" collapsed="false">
      <c r="A860" s="12" t="s">
        <v>2173</v>
      </c>
      <c r="B860" s="8" t="s">
        <v>2174</v>
      </c>
      <c r="C860" s="8" t="s">
        <v>3310</v>
      </c>
      <c r="D860" s="12" t="s">
        <v>1984</v>
      </c>
      <c r="E860" s="8" t="s">
        <v>2997</v>
      </c>
      <c r="F860" s="8" t="s">
        <v>3488</v>
      </c>
      <c r="G860" s="8" t="s">
        <v>2483</v>
      </c>
      <c r="H860" s="12" t="s">
        <v>194</v>
      </c>
      <c r="I860" s="8" t="s">
        <v>2213</v>
      </c>
      <c r="J860" s="8" t="s">
        <v>3489</v>
      </c>
      <c r="K860" s="8" t="s">
        <v>2215</v>
      </c>
    </row>
    <row r="861" customFormat="false" ht="24.75" hidden="false" customHeight="true" outlineLevel="0" collapsed="false">
      <c r="A861" s="12" t="s">
        <v>2173</v>
      </c>
      <c r="B861" s="8" t="s">
        <v>2174</v>
      </c>
      <c r="C861" s="8" t="s">
        <v>3310</v>
      </c>
      <c r="D861" s="12" t="s">
        <v>1984</v>
      </c>
      <c r="E861" s="8" t="s">
        <v>2997</v>
      </c>
      <c r="F861" s="8" t="s">
        <v>3490</v>
      </c>
      <c r="G861" s="8" t="s">
        <v>2483</v>
      </c>
      <c r="H861" s="12" t="s">
        <v>194</v>
      </c>
      <c r="I861" s="8" t="s">
        <v>2213</v>
      </c>
      <c r="J861" s="8" t="s">
        <v>3491</v>
      </c>
      <c r="K861" s="8" t="s">
        <v>2215</v>
      </c>
    </row>
    <row r="862" customFormat="false" ht="24.75" hidden="false" customHeight="true" outlineLevel="0" collapsed="false">
      <c r="A862" s="12" t="s">
        <v>2177</v>
      </c>
      <c r="B862" s="8" t="s">
        <v>2178</v>
      </c>
      <c r="C862" s="8" t="s">
        <v>3310</v>
      </c>
      <c r="D862" s="12" t="s">
        <v>1984</v>
      </c>
      <c r="E862" s="8" t="s">
        <v>2997</v>
      </c>
      <c r="F862" s="8" t="s">
        <v>3364</v>
      </c>
      <c r="G862" s="8" t="s">
        <v>2483</v>
      </c>
      <c r="H862" s="12" t="s">
        <v>194</v>
      </c>
      <c r="I862" s="8" t="s">
        <v>2213</v>
      </c>
      <c r="J862" s="8" t="s">
        <v>3365</v>
      </c>
      <c r="K862" s="8" t="s">
        <v>2215</v>
      </c>
    </row>
    <row r="863" customFormat="false" ht="24.75" hidden="false" customHeight="true" outlineLevel="0" collapsed="false">
      <c r="A863" s="12" t="s">
        <v>2181</v>
      </c>
      <c r="B863" s="8" t="s">
        <v>2184</v>
      </c>
      <c r="C863" s="8" t="s">
        <v>3310</v>
      </c>
      <c r="D863" s="12" t="s">
        <v>1984</v>
      </c>
      <c r="E863" s="8" t="s">
        <v>2997</v>
      </c>
      <c r="F863" s="8" t="s">
        <v>3492</v>
      </c>
      <c r="G863" s="8" t="s">
        <v>2483</v>
      </c>
      <c r="H863" s="12" t="s">
        <v>194</v>
      </c>
      <c r="I863" s="8" t="s">
        <v>2213</v>
      </c>
      <c r="J863" s="8" t="s">
        <v>3493</v>
      </c>
      <c r="K863" s="8" t="s">
        <v>2215</v>
      </c>
    </row>
    <row r="864" customFormat="false" ht="24.75" hidden="false" customHeight="true" outlineLevel="0" collapsed="false">
      <c r="A864" s="12" t="s">
        <v>2181</v>
      </c>
      <c r="B864" s="8" t="s">
        <v>2184</v>
      </c>
      <c r="C864" s="8" t="s">
        <v>3310</v>
      </c>
      <c r="D864" s="12" t="s">
        <v>1984</v>
      </c>
      <c r="E864" s="8" t="s">
        <v>2997</v>
      </c>
      <c r="F864" s="8" t="s">
        <v>3494</v>
      </c>
      <c r="G864" s="8" t="s">
        <v>2483</v>
      </c>
      <c r="H864" s="12" t="s">
        <v>194</v>
      </c>
      <c r="I864" s="8" t="s">
        <v>2213</v>
      </c>
      <c r="J864" s="8" t="s">
        <v>3495</v>
      </c>
      <c r="K864" s="8" t="s">
        <v>2215</v>
      </c>
    </row>
    <row r="865" customFormat="false" ht="24.75" hidden="false" customHeight="true" outlineLevel="0" collapsed="false">
      <c r="A865" s="12" t="s">
        <v>2181</v>
      </c>
      <c r="B865" s="8" t="s">
        <v>2184</v>
      </c>
      <c r="C865" s="8" t="s">
        <v>3310</v>
      </c>
      <c r="D865" s="12" t="s">
        <v>1984</v>
      </c>
      <c r="E865" s="8" t="s">
        <v>2997</v>
      </c>
      <c r="F865" s="8" t="s">
        <v>3496</v>
      </c>
      <c r="G865" s="8" t="s">
        <v>2483</v>
      </c>
      <c r="H865" s="12" t="s">
        <v>194</v>
      </c>
      <c r="I865" s="8" t="s">
        <v>2213</v>
      </c>
      <c r="J865" s="8" t="s">
        <v>3497</v>
      </c>
      <c r="K865" s="8" t="s">
        <v>2215</v>
      </c>
    </row>
    <row r="866" customFormat="false" ht="24.75" hidden="false" customHeight="true" outlineLevel="0" collapsed="false">
      <c r="A866" s="12" t="s">
        <v>2181</v>
      </c>
      <c r="B866" s="8" t="s">
        <v>2184</v>
      </c>
      <c r="C866" s="8" t="s">
        <v>3310</v>
      </c>
      <c r="D866" s="12" t="s">
        <v>1984</v>
      </c>
      <c r="E866" s="8" t="s">
        <v>2997</v>
      </c>
      <c r="F866" s="8" t="s">
        <v>3498</v>
      </c>
      <c r="G866" s="8" t="s">
        <v>2483</v>
      </c>
      <c r="H866" s="12" t="s">
        <v>194</v>
      </c>
      <c r="I866" s="8" t="s">
        <v>2213</v>
      </c>
      <c r="J866" s="8" t="s">
        <v>3499</v>
      </c>
      <c r="K866" s="8" t="s">
        <v>2215</v>
      </c>
    </row>
    <row r="867" customFormat="false" ht="24.75" hidden="false" customHeight="true" outlineLevel="0" collapsed="false">
      <c r="A867" s="12" t="s">
        <v>2188</v>
      </c>
      <c r="B867" s="8" t="s">
        <v>2189</v>
      </c>
      <c r="C867" s="8" t="s">
        <v>3310</v>
      </c>
      <c r="D867" s="12" t="s">
        <v>1984</v>
      </c>
      <c r="E867" s="8" t="s">
        <v>2997</v>
      </c>
      <c r="F867" s="8" t="s">
        <v>3500</v>
      </c>
      <c r="G867" s="8" t="s">
        <v>2483</v>
      </c>
      <c r="H867" s="12" t="s">
        <v>194</v>
      </c>
      <c r="I867" s="8" t="s">
        <v>2213</v>
      </c>
      <c r="J867" s="8" t="s">
        <v>3501</v>
      </c>
      <c r="K867" s="8" t="s">
        <v>2215</v>
      </c>
    </row>
    <row r="868" customFormat="false" ht="24.75" hidden="false" customHeight="true" outlineLevel="0" collapsed="false">
      <c r="A868" s="12" t="s">
        <v>2192</v>
      </c>
      <c r="B868" s="8" t="s">
        <v>2193</v>
      </c>
      <c r="C868" s="8" t="s">
        <v>3310</v>
      </c>
      <c r="D868" s="12" t="s">
        <v>1984</v>
      </c>
      <c r="E868" s="8" t="s">
        <v>2997</v>
      </c>
      <c r="F868" s="8" t="s">
        <v>3281</v>
      </c>
      <c r="G868" s="8" t="s">
        <v>2483</v>
      </c>
      <c r="H868" s="12" t="s">
        <v>194</v>
      </c>
      <c r="I868" s="8" t="s">
        <v>2213</v>
      </c>
      <c r="J868" s="8" t="s">
        <v>3282</v>
      </c>
      <c r="K868" s="8" t="s">
        <v>2215</v>
      </c>
    </row>
    <row r="869" customFormat="false" ht="24.75" hidden="false" customHeight="true" outlineLevel="0" collapsed="false">
      <c r="A869" s="12" t="s">
        <v>2196</v>
      </c>
      <c r="B869" s="8" t="s">
        <v>2197</v>
      </c>
      <c r="C869" s="8" t="s">
        <v>3310</v>
      </c>
      <c r="D869" s="12" t="s">
        <v>1983</v>
      </c>
      <c r="E869" s="8" t="s">
        <v>3100</v>
      </c>
      <c r="F869" s="8" t="s">
        <v>3335</v>
      </c>
      <c r="G869" s="8" t="s">
        <v>3172</v>
      </c>
      <c r="H869" s="12" t="s">
        <v>810</v>
      </c>
      <c r="I869" s="8" t="s">
        <v>2213</v>
      </c>
      <c r="J869" s="8" t="s">
        <v>3502</v>
      </c>
      <c r="K869" s="8" t="s">
        <v>2215</v>
      </c>
    </row>
    <row r="870" customFormat="false" ht="23.85" hidden="false" customHeight="false" outlineLevel="0" collapsed="false">
      <c r="A870" s="12" t="s">
        <v>1468</v>
      </c>
      <c r="B870" s="8" t="s">
        <v>1469</v>
      </c>
      <c r="C870" s="8" t="s">
        <v>2209</v>
      </c>
      <c r="D870" s="12" t="s">
        <v>3503</v>
      </c>
      <c r="E870" s="8" t="s">
        <v>3504</v>
      </c>
      <c r="F870" s="8" t="s">
        <v>3505</v>
      </c>
      <c r="G870" s="8" t="s">
        <v>3506</v>
      </c>
      <c r="H870" s="12" t="s">
        <v>195</v>
      </c>
      <c r="I870" s="8" t="s">
        <v>3507</v>
      </c>
      <c r="J870" s="8" t="s">
        <v>3508</v>
      </c>
      <c r="K870" s="8" t="s">
        <v>3509</v>
      </c>
    </row>
    <row r="871" customFormat="false" ht="23.85" hidden="false" customHeight="false" outlineLevel="0" collapsed="false">
      <c r="A871" s="12" t="s">
        <v>1478</v>
      </c>
      <c r="B871" s="8" t="s">
        <v>1479</v>
      </c>
      <c r="C871" s="8" t="s">
        <v>2209</v>
      </c>
      <c r="D871" s="12" t="s">
        <v>3503</v>
      </c>
      <c r="E871" s="8" t="s">
        <v>3504</v>
      </c>
      <c r="F871" s="8" t="s">
        <v>3505</v>
      </c>
      <c r="G871" s="8" t="s">
        <v>3506</v>
      </c>
      <c r="H871" s="12" t="s">
        <v>195</v>
      </c>
      <c r="I871" s="8" t="s">
        <v>3507</v>
      </c>
      <c r="J871" s="8" t="s">
        <v>3510</v>
      </c>
      <c r="K871" s="8" t="s">
        <v>3509</v>
      </c>
    </row>
    <row r="872" customFormat="false" ht="23.85" hidden="false" customHeight="false" outlineLevel="0" collapsed="false">
      <c r="A872" s="12" t="s">
        <v>1483</v>
      </c>
      <c r="B872" s="8" t="s">
        <v>1485</v>
      </c>
      <c r="C872" s="8" t="s">
        <v>2209</v>
      </c>
      <c r="D872" s="12" t="s">
        <v>3503</v>
      </c>
      <c r="E872" s="8" t="s">
        <v>3504</v>
      </c>
      <c r="F872" s="8" t="s">
        <v>3505</v>
      </c>
      <c r="G872" s="8" t="s">
        <v>3506</v>
      </c>
      <c r="H872" s="12" t="s">
        <v>195</v>
      </c>
      <c r="I872" s="8" t="s">
        <v>3507</v>
      </c>
      <c r="J872" s="8" t="s">
        <v>3511</v>
      </c>
      <c r="K872" s="8" t="s">
        <v>3509</v>
      </c>
    </row>
    <row r="873" customFormat="false" ht="23.85" hidden="false" customHeight="false" outlineLevel="0" collapsed="false">
      <c r="A873" s="12" t="s">
        <v>1490</v>
      </c>
      <c r="B873" s="8" t="s">
        <v>1492</v>
      </c>
      <c r="C873" s="8" t="s">
        <v>2209</v>
      </c>
      <c r="D873" s="12" t="s">
        <v>3503</v>
      </c>
      <c r="E873" s="8" t="s">
        <v>3504</v>
      </c>
      <c r="F873" s="8" t="s">
        <v>3505</v>
      </c>
      <c r="G873" s="8" t="s">
        <v>3506</v>
      </c>
      <c r="H873" s="12" t="s">
        <v>195</v>
      </c>
      <c r="I873" s="8" t="s">
        <v>3507</v>
      </c>
      <c r="J873" s="8" t="s">
        <v>3512</v>
      </c>
      <c r="K873" s="8" t="s">
        <v>3509</v>
      </c>
    </row>
    <row r="874" customFormat="false" ht="23.85" hidden="false" customHeight="false" outlineLevel="0" collapsed="false">
      <c r="A874" s="12" t="s">
        <v>1496</v>
      </c>
      <c r="B874" s="8" t="s">
        <v>1498</v>
      </c>
      <c r="C874" s="8" t="s">
        <v>2209</v>
      </c>
      <c r="D874" s="12" t="s">
        <v>3503</v>
      </c>
      <c r="E874" s="8" t="s">
        <v>3504</v>
      </c>
      <c r="F874" s="8" t="s">
        <v>3505</v>
      </c>
      <c r="G874" s="8" t="s">
        <v>3506</v>
      </c>
      <c r="H874" s="12" t="s">
        <v>195</v>
      </c>
      <c r="I874" s="8" t="s">
        <v>3507</v>
      </c>
      <c r="J874" s="8" t="s">
        <v>3513</v>
      </c>
      <c r="K874" s="8" t="s">
        <v>3509</v>
      </c>
    </row>
    <row r="875" customFormat="false" ht="23.85" hidden="false" customHeight="false" outlineLevel="0" collapsed="false">
      <c r="A875" s="12" t="s">
        <v>1504</v>
      </c>
      <c r="B875" s="8" t="s">
        <v>1506</v>
      </c>
      <c r="C875" s="8" t="s">
        <v>2209</v>
      </c>
      <c r="D875" s="12" t="s">
        <v>3503</v>
      </c>
      <c r="E875" s="8" t="s">
        <v>3504</v>
      </c>
      <c r="F875" s="8" t="s">
        <v>3505</v>
      </c>
      <c r="G875" s="8" t="s">
        <v>3506</v>
      </c>
      <c r="H875" s="12" t="s">
        <v>195</v>
      </c>
      <c r="I875" s="8" t="s">
        <v>3507</v>
      </c>
      <c r="J875" s="8" t="s">
        <v>3514</v>
      </c>
      <c r="K875" s="8" t="s">
        <v>3509</v>
      </c>
    </row>
    <row r="876" customFormat="false" ht="23.85" hidden="false" customHeight="false" outlineLevel="0" collapsed="false">
      <c r="A876" s="12" t="s">
        <v>1510</v>
      </c>
      <c r="B876" s="8" t="s">
        <v>1511</v>
      </c>
      <c r="C876" s="8" t="s">
        <v>2209</v>
      </c>
      <c r="D876" s="12" t="s">
        <v>3503</v>
      </c>
      <c r="E876" s="8" t="s">
        <v>3504</v>
      </c>
      <c r="F876" s="8" t="s">
        <v>3505</v>
      </c>
      <c r="G876" s="8" t="s">
        <v>3506</v>
      </c>
      <c r="H876" s="12" t="s">
        <v>195</v>
      </c>
      <c r="I876" s="8" t="s">
        <v>3507</v>
      </c>
      <c r="J876" s="8" t="s">
        <v>3515</v>
      </c>
      <c r="K876" s="8" t="s">
        <v>3509</v>
      </c>
    </row>
    <row r="877" customFormat="false" ht="23.85" hidden="false" customHeight="false" outlineLevel="0" collapsed="false">
      <c r="A877" s="12" t="s">
        <v>1516</v>
      </c>
      <c r="B877" s="8" t="s">
        <v>1518</v>
      </c>
      <c r="C877" s="8" t="s">
        <v>2209</v>
      </c>
      <c r="D877" s="12" t="s">
        <v>3503</v>
      </c>
      <c r="E877" s="8" t="s">
        <v>3504</v>
      </c>
      <c r="F877" s="8" t="s">
        <v>3505</v>
      </c>
      <c r="G877" s="8" t="s">
        <v>3506</v>
      </c>
      <c r="H877" s="12" t="s">
        <v>195</v>
      </c>
      <c r="I877" s="8" t="s">
        <v>3507</v>
      </c>
      <c r="J877" s="8" t="s">
        <v>3516</v>
      </c>
      <c r="K877" s="8" t="s">
        <v>3509</v>
      </c>
    </row>
    <row r="878" customFormat="false" ht="23.85" hidden="false" customHeight="false" outlineLevel="0" collapsed="false">
      <c r="A878" s="12" t="s">
        <v>1523</v>
      </c>
      <c r="B878" s="8" t="s">
        <v>1525</v>
      </c>
      <c r="C878" s="8" t="s">
        <v>2209</v>
      </c>
      <c r="D878" s="12" t="s">
        <v>3503</v>
      </c>
      <c r="E878" s="8" t="s">
        <v>3504</v>
      </c>
      <c r="F878" s="8" t="s">
        <v>3505</v>
      </c>
      <c r="G878" s="8" t="s">
        <v>3506</v>
      </c>
      <c r="H878" s="12" t="s">
        <v>195</v>
      </c>
      <c r="I878" s="8" t="s">
        <v>3507</v>
      </c>
      <c r="J878" s="8" t="s">
        <v>3517</v>
      </c>
      <c r="K878" s="8" t="s">
        <v>3509</v>
      </c>
    </row>
    <row r="879" customFormat="false" ht="23.85" hidden="false" customHeight="false" outlineLevel="0" collapsed="false">
      <c r="A879" s="12" t="s">
        <v>1530</v>
      </c>
      <c r="B879" s="8" t="s">
        <v>1532</v>
      </c>
      <c r="C879" s="8" t="s">
        <v>2209</v>
      </c>
      <c r="D879" s="12" t="s">
        <v>3503</v>
      </c>
      <c r="E879" s="8" t="s">
        <v>3504</v>
      </c>
      <c r="F879" s="8" t="s">
        <v>3518</v>
      </c>
      <c r="G879" s="8" t="s">
        <v>3506</v>
      </c>
      <c r="H879" s="12" t="s">
        <v>195</v>
      </c>
      <c r="I879" s="8" t="s">
        <v>3507</v>
      </c>
      <c r="J879" s="8" t="s">
        <v>3519</v>
      </c>
      <c r="K879" s="8" t="s">
        <v>3509</v>
      </c>
    </row>
    <row r="880" customFormat="false" ht="23.85" hidden="false" customHeight="false" outlineLevel="0" collapsed="false">
      <c r="A880" s="12" t="s">
        <v>1537</v>
      </c>
      <c r="B880" s="8" t="s">
        <v>1538</v>
      </c>
      <c r="C880" s="8" t="s">
        <v>2209</v>
      </c>
      <c r="D880" s="12" t="s">
        <v>3503</v>
      </c>
      <c r="E880" s="8" t="s">
        <v>3504</v>
      </c>
      <c r="F880" s="8" t="s">
        <v>3518</v>
      </c>
      <c r="G880" s="8" t="s">
        <v>3506</v>
      </c>
      <c r="H880" s="12" t="s">
        <v>195</v>
      </c>
      <c r="I880" s="8" t="s">
        <v>3507</v>
      </c>
      <c r="J880" s="8" t="s">
        <v>3520</v>
      </c>
      <c r="K880" s="8" t="s">
        <v>3509</v>
      </c>
    </row>
    <row r="881" customFormat="false" ht="23.85" hidden="false" customHeight="false" outlineLevel="0" collapsed="false">
      <c r="A881" s="12" t="s">
        <v>1543</v>
      </c>
      <c r="B881" s="8" t="s">
        <v>1544</v>
      </c>
      <c r="C881" s="8" t="s">
        <v>2209</v>
      </c>
      <c r="D881" s="12" t="s">
        <v>3503</v>
      </c>
      <c r="E881" s="8" t="s">
        <v>3504</v>
      </c>
      <c r="F881" s="8" t="s">
        <v>3518</v>
      </c>
      <c r="G881" s="8" t="s">
        <v>3506</v>
      </c>
      <c r="H881" s="12" t="s">
        <v>195</v>
      </c>
      <c r="I881" s="8" t="s">
        <v>3507</v>
      </c>
      <c r="J881" s="8" t="s">
        <v>3521</v>
      </c>
      <c r="K881" s="8" t="s">
        <v>3509</v>
      </c>
    </row>
    <row r="882" customFormat="false" ht="23.85" hidden="false" customHeight="false" outlineLevel="0" collapsed="false">
      <c r="A882" s="12" t="s">
        <v>1548</v>
      </c>
      <c r="B882" s="8" t="s">
        <v>1549</v>
      </c>
      <c r="C882" s="8" t="s">
        <v>2209</v>
      </c>
      <c r="D882" s="12" t="s">
        <v>3503</v>
      </c>
      <c r="E882" s="8" t="s">
        <v>3504</v>
      </c>
      <c r="F882" s="8" t="s">
        <v>3518</v>
      </c>
      <c r="G882" s="8" t="s">
        <v>3506</v>
      </c>
      <c r="H882" s="12" t="s">
        <v>195</v>
      </c>
      <c r="I882" s="8" t="s">
        <v>3507</v>
      </c>
      <c r="J882" s="8" t="s">
        <v>3522</v>
      </c>
      <c r="K882" s="8" t="s">
        <v>3509</v>
      </c>
    </row>
    <row r="883" customFormat="false" ht="23.85" hidden="false" customHeight="false" outlineLevel="0" collapsed="false">
      <c r="A883" s="12" t="s">
        <v>1553</v>
      </c>
      <c r="B883" s="8" t="s">
        <v>1554</v>
      </c>
      <c r="C883" s="8" t="s">
        <v>2209</v>
      </c>
      <c r="D883" s="12" t="s">
        <v>3503</v>
      </c>
      <c r="E883" s="8" t="s">
        <v>3504</v>
      </c>
      <c r="F883" s="8" t="s">
        <v>3518</v>
      </c>
      <c r="G883" s="8" t="s">
        <v>3506</v>
      </c>
      <c r="H883" s="12" t="s">
        <v>195</v>
      </c>
      <c r="I883" s="8" t="s">
        <v>3507</v>
      </c>
      <c r="J883" s="8" t="s">
        <v>3523</v>
      </c>
      <c r="K883" s="8" t="s">
        <v>3509</v>
      </c>
    </row>
    <row r="884" customFormat="false" ht="23.85" hidden="false" customHeight="false" outlineLevel="0" collapsed="false">
      <c r="A884" s="12" t="s">
        <v>1557</v>
      </c>
      <c r="B884" s="8" t="s">
        <v>1558</v>
      </c>
      <c r="C884" s="8" t="s">
        <v>2209</v>
      </c>
      <c r="D884" s="12" t="s">
        <v>3503</v>
      </c>
      <c r="E884" s="8" t="s">
        <v>3504</v>
      </c>
      <c r="F884" s="8" t="s">
        <v>3518</v>
      </c>
      <c r="G884" s="8" t="s">
        <v>3506</v>
      </c>
      <c r="H884" s="12" t="s">
        <v>195</v>
      </c>
      <c r="I884" s="8" t="s">
        <v>3507</v>
      </c>
      <c r="J884" s="8" t="s">
        <v>3524</v>
      </c>
      <c r="K884" s="8" t="s">
        <v>3509</v>
      </c>
    </row>
    <row r="885" customFormat="false" ht="23.85" hidden="false" customHeight="false" outlineLevel="0" collapsed="false">
      <c r="A885" s="12" t="s">
        <v>1563</v>
      </c>
      <c r="B885" s="8" t="s">
        <v>1564</v>
      </c>
      <c r="C885" s="8" t="s">
        <v>2209</v>
      </c>
      <c r="D885" s="12" t="s">
        <v>3503</v>
      </c>
      <c r="E885" s="8" t="s">
        <v>3504</v>
      </c>
      <c r="F885" s="8" t="s">
        <v>3525</v>
      </c>
      <c r="G885" s="8" t="s">
        <v>3506</v>
      </c>
      <c r="H885" s="12" t="s">
        <v>195</v>
      </c>
      <c r="I885" s="8" t="s">
        <v>3507</v>
      </c>
      <c r="J885" s="8" t="s">
        <v>3526</v>
      </c>
      <c r="K885" s="8" t="s">
        <v>3509</v>
      </c>
    </row>
    <row r="886" customFormat="false" ht="23.85" hidden="false" customHeight="false" outlineLevel="0" collapsed="false">
      <c r="A886" s="12" t="s">
        <v>1567</v>
      </c>
      <c r="B886" s="8" t="s">
        <v>1569</v>
      </c>
      <c r="C886" s="8" t="s">
        <v>2209</v>
      </c>
      <c r="D886" s="12" t="s">
        <v>3503</v>
      </c>
      <c r="E886" s="8" t="s">
        <v>3504</v>
      </c>
      <c r="F886" s="8" t="s">
        <v>3525</v>
      </c>
      <c r="G886" s="8" t="s">
        <v>3506</v>
      </c>
      <c r="H886" s="12" t="s">
        <v>195</v>
      </c>
      <c r="I886" s="8" t="s">
        <v>3507</v>
      </c>
      <c r="J886" s="8" t="s">
        <v>3527</v>
      </c>
      <c r="K886" s="8" t="s">
        <v>3509</v>
      </c>
    </row>
    <row r="887" customFormat="false" ht="23.85" hidden="false" customHeight="false" outlineLevel="0" collapsed="false">
      <c r="A887" s="12" t="s">
        <v>1574</v>
      </c>
      <c r="B887" s="8" t="s">
        <v>1575</v>
      </c>
      <c r="C887" s="8" t="s">
        <v>2209</v>
      </c>
      <c r="D887" s="12" t="s">
        <v>3503</v>
      </c>
      <c r="E887" s="8" t="s">
        <v>3504</v>
      </c>
      <c r="F887" s="8" t="s">
        <v>3525</v>
      </c>
      <c r="G887" s="8" t="s">
        <v>3506</v>
      </c>
      <c r="H887" s="12" t="s">
        <v>195</v>
      </c>
      <c r="I887" s="8" t="s">
        <v>3507</v>
      </c>
      <c r="J887" s="8" t="s">
        <v>3528</v>
      </c>
      <c r="K887" s="8" t="s">
        <v>3509</v>
      </c>
    </row>
    <row r="888" customFormat="false" ht="23.85" hidden="false" customHeight="false" outlineLevel="0" collapsed="false">
      <c r="A888" s="12" t="s">
        <v>1579</v>
      </c>
      <c r="B888" s="8" t="s">
        <v>1580</v>
      </c>
      <c r="C888" s="8" t="s">
        <v>2209</v>
      </c>
      <c r="D888" s="12" t="s">
        <v>3503</v>
      </c>
      <c r="E888" s="8" t="s">
        <v>3504</v>
      </c>
      <c r="F888" s="8" t="s">
        <v>3525</v>
      </c>
      <c r="G888" s="8" t="s">
        <v>3506</v>
      </c>
      <c r="H888" s="12" t="s">
        <v>195</v>
      </c>
      <c r="I888" s="8" t="s">
        <v>3507</v>
      </c>
      <c r="J888" s="8" t="s">
        <v>3529</v>
      </c>
      <c r="K888" s="8" t="s">
        <v>3509</v>
      </c>
    </row>
    <row r="889" customFormat="false" ht="23.85" hidden="false" customHeight="false" outlineLevel="0" collapsed="false">
      <c r="A889" s="12" t="s">
        <v>1585</v>
      </c>
      <c r="B889" s="8" t="s">
        <v>1586</v>
      </c>
      <c r="C889" s="8" t="s">
        <v>2209</v>
      </c>
      <c r="D889" s="12" t="s">
        <v>3503</v>
      </c>
      <c r="E889" s="8" t="s">
        <v>3504</v>
      </c>
      <c r="F889" s="8" t="s">
        <v>3525</v>
      </c>
      <c r="G889" s="8" t="s">
        <v>3506</v>
      </c>
      <c r="H889" s="12" t="s">
        <v>195</v>
      </c>
      <c r="I889" s="8" t="s">
        <v>3507</v>
      </c>
      <c r="J889" s="8" t="s">
        <v>3530</v>
      </c>
      <c r="K889" s="8" t="s">
        <v>3509</v>
      </c>
    </row>
    <row r="890" customFormat="false" ht="23.85" hidden="false" customHeight="false" outlineLevel="0" collapsed="false">
      <c r="A890" s="12" t="s">
        <v>1590</v>
      </c>
      <c r="B890" s="8" t="s">
        <v>1591</v>
      </c>
      <c r="C890" s="8" t="s">
        <v>2209</v>
      </c>
      <c r="D890" s="12" t="s">
        <v>3503</v>
      </c>
      <c r="E890" s="8" t="s">
        <v>3504</v>
      </c>
      <c r="F890" s="8" t="s">
        <v>3525</v>
      </c>
      <c r="G890" s="8" t="s">
        <v>3506</v>
      </c>
      <c r="H890" s="12" t="s">
        <v>195</v>
      </c>
      <c r="I890" s="8" t="s">
        <v>3507</v>
      </c>
      <c r="J890" s="8" t="s">
        <v>3531</v>
      </c>
      <c r="K890" s="8" t="s">
        <v>3509</v>
      </c>
    </row>
    <row r="891" customFormat="false" ht="23.85" hidden="false" customHeight="false" outlineLevel="0" collapsed="false">
      <c r="A891" s="12" t="s">
        <v>1595</v>
      </c>
      <c r="B891" s="8" t="s">
        <v>1596</v>
      </c>
      <c r="C891" s="8" t="s">
        <v>2209</v>
      </c>
      <c r="D891" s="12" t="s">
        <v>3503</v>
      </c>
      <c r="E891" s="8" t="s">
        <v>3504</v>
      </c>
      <c r="F891" s="8" t="s">
        <v>3525</v>
      </c>
      <c r="G891" s="8" t="s">
        <v>3506</v>
      </c>
      <c r="H891" s="12" t="s">
        <v>195</v>
      </c>
      <c r="I891" s="8" t="s">
        <v>3507</v>
      </c>
      <c r="J891" s="8" t="s">
        <v>3532</v>
      </c>
      <c r="K891" s="8" t="s">
        <v>3509</v>
      </c>
    </row>
    <row r="892" customFormat="false" ht="23.85" hidden="false" customHeight="false" outlineLevel="0" collapsed="false">
      <c r="A892" s="12" t="s">
        <v>1602</v>
      </c>
      <c r="B892" s="8" t="s">
        <v>1603</v>
      </c>
      <c r="C892" s="8" t="s">
        <v>2209</v>
      </c>
      <c r="D892" s="12" t="s">
        <v>3503</v>
      </c>
      <c r="E892" s="8" t="s">
        <v>3504</v>
      </c>
      <c r="F892" s="8" t="s">
        <v>3525</v>
      </c>
      <c r="G892" s="8" t="s">
        <v>3506</v>
      </c>
      <c r="H892" s="12" t="s">
        <v>195</v>
      </c>
      <c r="I892" s="8" t="s">
        <v>3507</v>
      </c>
      <c r="J892" s="8" t="s">
        <v>3533</v>
      </c>
      <c r="K892" s="8" t="s">
        <v>3509</v>
      </c>
    </row>
    <row r="893" customFormat="false" ht="23.85" hidden="false" customHeight="false" outlineLevel="0" collapsed="false">
      <c r="A893" s="12" t="s">
        <v>1606</v>
      </c>
      <c r="B893" s="8" t="s">
        <v>1607</v>
      </c>
      <c r="C893" s="8" t="s">
        <v>2209</v>
      </c>
      <c r="D893" s="12" t="s">
        <v>3503</v>
      </c>
      <c r="E893" s="8" t="s">
        <v>3504</v>
      </c>
      <c r="F893" s="8" t="s">
        <v>3534</v>
      </c>
      <c r="G893" s="8" t="s">
        <v>3506</v>
      </c>
      <c r="H893" s="12" t="s">
        <v>195</v>
      </c>
      <c r="I893" s="8" t="s">
        <v>3507</v>
      </c>
      <c r="J893" s="8" t="s">
        <v>3533</v>
      </c>
      <c r="K893" s="8" t="s">
        <v>3509</v>
      </c>
    </row>
    <row r="894" customFormat="false" ht="23.85" hidden="false" customHeight="false" outlineLevel="0" collapsed="false">
      <c r="A894" s="12" t="s">
        <v>1611</v>
      </c>
      <c r="B894" s="8" t="s">
        <v>1613</v>
      </c>
      <c r="C894" s="8" t="s">
        <v>2209</v>
      </c>
      <c r="D894" s="12" t="s">
        <v>3503</v>
      </c>
      <c r="E894" s="8" t="s">
        <v>3504</v>
      </c>
      <c r="F894" s="8" t="s">
        <v>3534</v>
      </c>
      <c r="G894" s="8" t="s">
        <v>3506</v>
      </c>
      <c r="H894" s="12" t="s">
        <v>195</v>
      </c>
      <c r="I894" s="8" t="s">
        <v>3507</v>
      </c>
      <c r="J894" s="8" t="s">
        <v>3535</v>
      </c>
      <c r="K894" s="8" t="s">
        <v>3509</v>
      </c>
    </row>
    <row r="895" customFormat="false" ht="23.85" hidden="false" customHeight="false" outlineLevel="0" collapsed="false">
      <c r="A895" s="12" t="s">
        <v>1618</v>
      </c>
      <c r="B895" s="8" t="s">
        <v>1619</v>
      </c>
      <c r="C895" s="8" t="s">
        <v>2209</v>
      </c>
      <c r="D895" s="12" t="s">
        <v>3503</v>
      </c>
      <c r="E895" s="8" t="s">
        <v>3504</v>
      </c>
      <c r="F895" s="8" t="s">
        <v>3534</v>
      </c>
      <c r="G895" s="8" t="s">
        <v>3506</v>
      </c>
      <c r="H895" s="12" t="s">
        <v>195</v>
      </c>
      <c r="I895" s="8" t="s">
        <v>3507</v>
      </c>
      <c r="J895" s="8" t="s">
        <v>3536</v>
      </c>
      <c r="K895" s="8" t="s">
        <v>3509</v>
      </c>
    </row>
    <row r="896" customFormat="false" ht="23.85" hidden="false" customHeight="false" outlineLevel="0" collapsed="false">
      <c r="A896" s="12" t="s">
        <v>1623</v>
      </c>
      <c r="B896" s="8" t="s">
        <v>1624</v>
      </c>
      <c r="C896" s="8" t="s">
        <v>2209</v>
      </c>
      <c r="D896" s="12" t="s">
        <v>3503</v>
      </c>
      <c r="E896" s="8" t="s">
        <v>3504</v>
      </c>
      <c r="F896" s="8" t="s">
        <v>3534</v>
      </c>
      <c r="G896" s="8" t="s">
        <v>3506</v>
      </c>
      <c r="H896" s="12" t="s">
        <v>195</v>
      </c>
      <c r="I896" s="8" t="s">
        <v>3507</v>
      </c>
      <c r="J896" s="8" t="s">
        <v>3537</v>
      </c>
      <c r="K896" s="8" t="s">
        <v>3509</v>
      </c>
    </row>
    <row r="897" customFormat="false" ht="23.85" hidden="false" customHeight="false" outlineLevel="0" collapsed="false">
      <c r="A897" s="12" t="s">
        <v>1628</v>
      </c>
      <c r="B897" s="8" t="s">
        <v>1629</v>
      </c>
      <c r="C897" s="8" t="s">
        <v>2209</v>
      </c>
      <c r="D897" s="12" t="s">
        <v>3503</v>
      </c>
      <c r="E897" s="8" t="s">
        <v>3504</v>
      </c>
      <c r="F897" s="8" t="s">
        <v>3534</v>
      </c>
      <c r="G897" s="8" t="s">
        <v>3506</v>
      </c>
      <c r="H897" s="12" t="s">
        <v>195</v>
      </c>
      <c r="I897" s="8" t="s">
        <v>3507</v>
      </c>
      <c r="J897" s="8" t="s">
        <v>3538</v>
      </c>
      <c r="K897" s="8" t="s">
        <v>3509</v>
      </c>
    </row>
    <row r="898" customFormat="false" ht="23.85" hidden="false" customHeight="false" outlineLevel="0" collapsed="false">
      <c r="A898" s="12" t="s">
        <v>1635</v>
      </c>
      <c r="B898" s="8" t="s">
        <v>1636</v>
      </c>
      <c r="C898" s="8" t="s">
        <v>2209</v>
      </c>
      <c r="D898" s="12" t="s">
        <v>3503</v>
      </c>
      <c r="E898" s="8" t="s">
        <v>3504</v>
      </c>
      <c r="F898" s="8" t="s">
        <v>3534</v>
      </c>
      <c r="G898" s="8" t="s">
        <v>3506</v>
      </c>
      <c r="H898" s="12" t="s">
        <v>195</v>
      </c>
      <c r="I898" s="8" t="s">
        <v>3507</v>
      </c>
      <c r="J898" s="8" t="s">
        <v>3539</v>
      </c>
      <c r="K898" s="8" t="s">
        <v>3509</v>
      </c>
    </row>
    <row r="899" customFormat="false" ht="23.85" hidden="false" customHeight="false" outlineLevel="0" collapsed="false">
      <c r="A899" s="12" t="s">
        <v>1640</v>
      </c>
      <c r="B899" s="8" t="s">
        <v>1642</v>
      </c>
      <c r="C899" s="8" t="s">
        <v>2209</v>
      </c>
      <c r="D899" s="12" t="s">
        <v>3503</v>
      </c>
      <c r="E899" s="8" t="s">
        <v>3504</v>
      </c>
      <c r="F899" s="8" t="s">
        <v>3534</v>
      </c>
      <c r="G899" s="8" t="s">
        <v>3506</v>
      </c>
      <c r="H899" s="12" t="s">
        <v>195</v>
      </c>
      <c r="I899" s="8" t="s">
        <v>3507</v>
      </c>
      <c r="J899" s="8" t="s">
        <v>3540</v>
      </c>
      <c r="K899" s="8" t="s">
        <v>3509</v>
      </c>
    </row>
    <row r="900" customFormat="false" ht="23.85" hidden="false" customHeight="false" outlineLevel="0" collapsed="false">
      <c r="A900" s="12" t="s">
        <v>1646</v>
      </c>
      <c r="B900" s="8" t="s">
        <v>1647</v>
      </c>
      <c r="C900" s="8" t="s">
        <v>2209</v>
      </c>
      <c r="D900" s="12" t="s">
        <v>3503</v>
      </c>
      <c r="E900" s="8" t="s">
        <v>3504</v>
      </c>
      <c r="F900" s="8" t="s">
        <v>3534</v>
      </c>
      <c r="G900" s="8" t="s">
        <v>3506</v>
      </c>
      <c r="H900" s="12" t="s">
        <v>195</v>
      </c>
      <c r="I900" s="8" t="s">
        <v>3507</v>
      </c>
      <c r="J900" s="8" t="s">
        <v>3541</v>
      </c>
      <c r="K900" s="8" t="s">
        <v>3509</v>
      </c>
    </row>
    <row r="901" customFormat="false" ht="23.85" hidden="false" customHeight="false" outlineLevel="0" collapsed="false">
      <c r="A901" s="12" t="s">
        <v>1652</v>
      </c>
      <c r="B901" s="8" t="s">
        <v>1653</v>
      </c>
      <c r="C901" s="8" t="s">
        <v>2209</v>
      </c>
      <c r="D901" s="12" t="s">
        <v>3503</v>
      </c>
      <c r="E901" s="8" t="s">
        <v>3504</v>
      </c>
      <c r="F901" s="8" t="s">
        <v>3534</v>
      </c>
      <c r="G901" s="8" t="s">
        <v>3506</v>
      </c>
      <c r="H901" s="12" t="s">
        <v>195</v>
      </c>
      <c r="I901" s="8" t="s">
        <v>3507</v>
      </c>
      <c r="J901" s="8" t="s">
        <v>3542</v>
      </c>
      <c r="K901" s="8" t="s">
        <v>3509</v>
      </c>
    </row>
    <row r="902" customFormat="false" ht="23.85" hidden="false" customHeight="false" outlineLevel="0" collapsed="false">
      <c r="A902" s="12" t="s">
        <v>1656</v>
      </c>
      <c r="B902" s="8" t="s">
        <v>1658</v>
      </c>
      <c r="C902" s="8" t="s">
        <v>2209</v>
      </c>
      <c r="D902" s="12" t="s">
        <v>3503</v>
      </c>
      <c r="E902" s="8" t="s">
        <v>3504</v>
      </c>
      <c r="F902" s="8" t="s">
        <v>3534</v>
      </c>
      <c r="G902" s="8" t="s">
        <v>3506</v>
      </c>
      <c r="H902" s="12" t="s">
        <v>195</v>
      </c>
      <c r="I902" s="8" t="s">
        <v>3507</v>
      </c>
      <c r="J902" s="8" t="s">
        <v>3543</v>
      </c>
      <c r="K902" s="8" t="s">
        <v>3509</v>
      </c>
    </row>
    <row r="903" customFormat="false" ht="23.85" hidden="false" customHeight="false" outlineLevel="0" collapsed="false">
      <c r="A903" s="12" t="s">
        <v>1663</v>
      </c>
      <c r="B903" s="8" t="s">
        <v>1664</v>
      </c>
      <c r="C903" s="8" t="s">
        <v>2209</v>
      </c>
      <c r="D903" s="12" t="s">
        <v>3503</v>
      </c>
      <c r="E903" s="8" t="s">
        <v>3504</v>
      </c>
      <c r="F903" s="8" t="s">
        <v>3534</v>
      </c>
      <c r="G903" s="8" t="s">
        <v>3506</v>
      </c>
      <c r="H903" s="12" t="s">
        <v>195</v>
      </c>
      <c r="I903" s="8" t="s">
        <v>3507</v>
      </c>
      <c r="J903" s="8" t="s">
        <v>3544</v>
      </c>
      <c r="K903" s="8" t="s">
        <v>3509</v>
      </c>
    </row>
    <row r="904" customFormat="false" ht="23.85" hidden="false" customHeight="false" outlineLevel="0" collapsed="false">
      <c r="A904" s="12" t="s">
        <v>1668</v>
      </c>
      <c r="B904" s="8" t="s">
        <v>1669</v>
      </c>
      <c r="C904" s="8" t="s">
        <v>2209</v>
      </c>
      <c r="D904" s="12" t="s">
        <v>3503</v>
      </c>
      <c r="E904" s="8" t="s">
        <v>3504</v>
      </c>
      <c r="F904" s="8" t="s">
        <v>3534</v>
      </c>
      <c r="G904" s="8" t="s">
        <v>3506</v>
      </c>
      <c r="H904" s="12" t="s">
        <v>195</v>
      </c>
      <c r="I904" s="8" t="s">
        <v>3507</v>
      </c>
      <c r="J904" s="8" t="s">
        <v>3545</v>
      </c>
      <c r="K904" s="8" t="s">
        <v>3509</v>
      </c>
    </row>
    <row r="905" customFormat="false" ht="23.85" hidden="false" customHeight="false" outlineLevel="0" collapsed="false">
      <c r="A905" s="12" t="s">
        <v>1672</v>
      </c>
      <c r="B905" s="8" t="s">
        <v>1673</v>
      </c>
      <c r="C905" s="8" t="s">
        <v>2209</v>
      </c>
      <c r="D905" s="12" t="s">
        <v>3503</v>
      </c>
      <c r="E905" s="8" t="s">
        <v>3504</v>
      </c>
      <c r="F905" s="8" t="s">
        <v>3534</v>
      </c>
      <c r="G905" s="8" t="s">
        <v>3506</v>
      </c>
      <c r="H905" s="12" t="s">
        <v>195</v>
      </c>
      <c r="I905" s="8" t="s">
        <v>3507</v>
      </c>
      <c r="J905" s="8" t="s">
        <v>3546</v>
      </c>
      <c r="K905" s="8" t="s">
        <v>3509</v>
      </c>
    </row>
    <row r="906" customFormat="false" ht="23.85" hidden="false" customHeight="false" outlineLevel="0" collapsed="false">
      <c r="A906" s="12" t="s">
        <v>1677</v>
      </c>
      <c r="B906" s="8" t="s">
        <v>1678</v>
      </c>
      <c r="C906" s="8" t="s">
        <v>2209</v>
      </c>
      <c r="D906" s="12" t="s">
        <v>3503</v>
      </c>
      <c r="E906" s="8" t="s">
        <v>3504</v>
      </c>
      <c r="F906" s="8" t="s">
        <v>3547</v>
      </c>
      <c r="G906" s="8" t="s">
        <v>3506</v>
      </c>
      <c r="H906" s="12" t="s">
        <v>195</v>
      </c>
      <c r="I906" s="8" t="s">
        <v>3507</v>
      </c>
      <c r="J906" s="8" t="s">
        <v>3548</v>
      </c>
      <c r="K906" s="8" t="s">
        <v>3509</v>
      </c>
    </row>
    <row r="907" customFormat="false" ht="23.85" hidden="false" customHeight="false" outlineLevel="0" collapsed="false">
      <c r="A907" s="12" t="s">
        <v>1683</v>
      </c>
      <c r="B907" s="8" t="s">
        <v>1684</v>
      </c>
      <c r="C907" s="8" t="s">
        <v>2209</v>
      </c>
      <c r="D907" s="12" t="s">
        <v>3503</v>
      </c>
      <c r="E907" s="8" t="s">
        <v>3504</v>
      </c>
      <c r="F907" s="8" t="s">
        <v>3547</v>
      </c>
      <c r="G907" s="8" t="s">
        <v>3506</v>
      </c>
      <c r="H907" s="12" t="s">
        <v>195</v>
      </c>
      <c r="I907" s="8" t="s">
        <v>3507</v>
      </c>
      <c r="J907" s="8" t="s">
        <v>3549</v>
      </c>
      <c r="K907" s="8" t="s">
        <v>3509</v>
      </c>
    </row>
    <row r="908" customFormat="false" ht="23.85" hidden="false" customHeight="false" outlineLevel="0" collapsed="false">
      <c r="A908" s="12" t="s">
        <v>1688</v>
      </c>
      <c r="B908" s="8" t="s">
        <v>1689</v>
      </c>
      <c r="C908" s="8" t="s">
        <v>2209</v>
      </c>
      <c r="D908" s="12" t="s">
        <v>3503</v>
      </c>
      <c r="E908" s="8" t="s">
        <v>3504</v>
      </c>
      <c r="F908" s="8" t="s">
        <v>3547</v>
      </c>
      <c r="G908" s="8" t="s">
        <v>3506</v>
      </c>
      <c r="H908" s="12" t="s">
        <v>195</v>
      </c>
      <c r="I908" s="8" t="s">
        <v>3507</v>
      </c>
      <c r="J908" s="8" t="s">
        <v>3550</v>
      </c>
      <c r="K908" s="8" t="s">
        <v>3509</v>
      </c>
    </row>
    <row r="909" customFormat="false" ht="23.85" hidden="false" customHeight="false" outlineLevel="0" collapsed="false">
      <c r="A909" s="12" t="s">
        <v>1693</v>
      </c>
      <c r="B909" s="8" t="s">
        <v>1694</v>
      </c>
      <c r="C909" s="8" t="s">
        <v>2209</v>
      </c>
      <c r="D909" s="12" t="s">
        <v>3503</v>
      </c>
      <c r="E909" s="8" t="s">
        <v>3504</v>
      </c>
      <c r="F909" s="8" t="s">
        <v>3547</v>
      </c>
      <c r="G909" s="8" t="s">
        <v>3506</v>
      </c>
      <c r="H909" s="12" t="s">
        <v>195</v>
      </c>
      <c r="I909" s="8" t="s">
        <v>3507</v>
      </c>
      <c r="J909" s="8" t="s">
        <v>3551</v>
      </c>
      <c r="K909" s="8" t="s">
        <v>3509</v>
      </c>
    </row>
    <row r="910" customFormat="false" ht="23.85" hidden="false" customHeight="false" outlineLevel="0" collapsed="false">
      <c r="A910" s="12" t="s">
        <v>1699</v>
      </c>
      <c r="B910" s="8" t="s">
        <v>1700</v>
      </c>
      <c r="C910" s="8" t="s">
        <v>2209</v>
      </c>
      <c r="D910" s="12" t="s">
        <v>3503</v>
      </c>
      <c r="E910" s="8" t="s">
        <v>3504</v>
      </c>
      <c r="F910" s="8" t="s">
        <v>3547</v>
      </c>
      <c r="G910" s="8" t="s">
        <v>3506</v>
      </c>
      <c r="H910" s="12" t="s">
        <v>195</v>
      </c>
      <c r="I910" s="8" t="s">
        <v>3507</v>
      </c>
      <c r="J910" s="8" t="s">
        <v>3552</v>
      </c>
      <c r="K910" s="8" t="s">
        <v>3509</v>
      </c>
    </row>
    <row r="911" customFormat="false" ht="23.85" hidden="false" customHeight="false" outlineLevel="0" collapsed="false">
      <c r="A911" s="12" t="s">
        <v>1704</v>
      </c>
      <c r="B911" s="8" t="s">
        <v>1705</v>
      </c>
      <c r="C911" s="8" t="s">
        <v>2209</v>
      </c>
      <c r="D911" s="12" t="s">
        <v>3503</v>
      </c>
      <c r="E911" s="8" t="s">
        <v>3504</v>
      </c>
      <c r="F911" s="8" t="s">
        <v>3547</v>
      </c>
      <c r="G911" s="8" t="s">
        <v>3506</v>
      </c>
      <c r="H911" s="12" t="s">
        <v>195</v>
      </c>
      <c r="I911" s="8" t="s">
        <v>3507</v>
      </c>
      <c r="J911" s="8" t="s">
        <v>3553</v>
      </c>
      <c r="K911" s="8" t="s">
        <v>3509</v>
      </c>
    </row>
    <row r="912" customFormat="false" ht="23.85" hidden="false" customHeight="false" outlineLevel="0" collapsed="false">
      <c r="A912" s="12" t="s">
        <v>1709</v>
      </c>
      <c r="B912" s="8" t="s">
        <v>1710</v>
      </c>
      <c r="C912" s="8" t="s">
        <v>2209</v>
      </c>
      <c r="D912" s="12" t="s">
        <v>3503</v>
      </c>
      <c r="E912" s="8" t="s">
        <v>3504</v>
      </c>
      <c r="F912" s="8" t="s">
        <v>3547</v>
      </c>
      <c r="G912" s="8" t="s">
        <v>3506</v>
      </c>
      <c r="H912" s="12" t="s">
        <v>195</v>
      </c>
      <c r="I912" s="8" t="s">
        <v>3507</v>
      </c>
      <c r="J912" s="8" t="s">
        <v>3554</v>
      </c>
      <c r="K912" s="8" t="s">
        <v>3509</v>
      </c>
    </row>
    <row r="913" customFormat="false" ht="23.85" hidden="false" customHeight="false" outlineLevel="0" collapsed="false">
      <c r="A913" s="12" t="s">
        <v>1713</v>
      </c>
      <c r="B913" s="8" t="s">
        <v>1714</v>
      </c>
      <c r="C913" s="8" t="s">
        <v>2209</v>
      </c>
      <c r="D913" s="12" t="s">
        <v>3503</v>
      </c>
      <c r="E913" s="8" t="s">
        <v>3504</v>
      </c>
      <c r="F913" s="8" t="s">
        <v>3547</v>
      </c>
      <c r="G913" s="8" t="s">
        <v>3506</v>
      </c>
      <c r="H913" s="12" t="s">
        <v>195</v>
      </c>
      <c r="I913" s="8" t="s">
        <v>3507</v>
      </c>
      <c r="J913" s="8" t="s">
        <v>3555</v>
      </c>
      <c r="K913" s="8" t="s">
        <v>3509</v>
      </c>
    </row>
    <row r="914" customFormat="false" ht="23.85" hidden="false" customHeight="false" outlineLevel="0" collapsed="false">
      <c r="A914" s="12" t="s">
        <v>1717</v>
      </c>
      <c r="B914" s="8" t="s">
        <v>1718</v>
      </c>
      <c r="C914" s="8" t="s">
        <v>2209</v>
      </c>
      <c r="D914" s="12" t="s">
        <v>3503</v>
      </c>
      <c r="E914" s="8" t="s">
        <v>3504</v>
      </c>
      <c r="F914" s="8" t="s">
        <v>3547</v>
      </c>
      <c r="G914" s="8" t="s">
        <v>3506</v>
      </c>
      <c r="H914" s="12" t="s">
        <v>195</v>
      </c>
      <c r="I914" s="8" t="s">
        <v>3507</v>
      </c>
      <c r="J914" s="8" t="s">
        <v>3556</v>
      </c>
      <c r="K914" s="8" t="s">
        <v>3509</v>
      </c>
    </row>
    <row r="915" customFormat="false" ht="23.85" hidden="false" customHeight="false" outlineLevel="0" collapsed="false">
      <c r="A915" s="12" t="s">
        <v>1723</v>
      </c>
      <c r="B915" s="8" t="s">
        <v>1724</v>
      </c>
      <c r="C915" s="8" t="s">
        <v>2209</v>
      </c>
      <c r="D915" s="12" t="s">
        <v>3503</v>
      </c>
      <c r="E915" s="8" t="s">
        <v>3504</v>
      </c>
      <c r="F915" s="8" t="s">
        <v>3557</v>
      </c>
      <c r="G915" s="8" t="s">
        <v>3506</v>
      </c>
      <c r="H915" s="12" t="s">
        <v>195</v>
      </c>
      <c r="I915" s="8" t="s">
        <v>3507</v>
      </c>
      <c r="J915" s="8" t="s">
        <v>3558</v>
      </c>
      <c r="K915" s="8" t="s">
        <v>3509</v>
      </c>
    </row>
    <row r="916" customFormat="false" ht="23.85" hidden="false" customHeight="false" outlineLevel="0" collapsed="false">
      <c r="A916" s="12" t="s">
        <v>1729</v>
      </c>
      <c r="B916" s="8" t="s">
        <v>1730</v>
      </c>
      <c r="C916" s="8" t="s">
        <v>2209</v>
      </c>
      <c r="D916" s="12" t="s">
        <v>3503</v>
      </c>
      <c r="E916" s="8" t="s">
        <v>3504</v>
      </c>
      <c r="F916" s="8" t="s">
        <v>3557</v>
      </c>
      <c r="G916" s="8" t="s">
        <v>3506</v>
      </c>
      <c r="H916" s="12" t="s">
        <v>195</v>
      </c>
      <c r="I916" s="8" t="s">
        <v>3507</v>
      </c>
      <c r="J916" s="8" t="s">
        <v>3559</v>
      </c>
      <c r="K916" s="8" t="s">
        <v>3509</v>
      </c>
    </row>
    <row r="917" customFormat="false" ht="23.85" hidden="false" customHeight="false" outlineLevel="0" collapsed="false">
      <c r="A917" s="12" t="s">
        <v>1735</v>
      </c>
      <c r="B917" s="8" t="s">
        <v>1736</v>
      </c>
      <c r="C917" s="8" t="s">
        <v>2209</v>
      </c>
      <c r="D917" s="12" t="s">
        <v>3503</v>
      </c>
      <c r="E917" s="8" t="s">
        <v>3504</v>
      </c>
      <c r="F917" s="8" t="s">
        <v>3557</v>
      </c>
      <c r="G917" s="8" t="s">
        <v>3506</v>
      </c>
      <c r="H917" s="12" t="s">
        <v>195</v>
      </c>
      <c r="I917" s="8" t="s">
        <v>3507</v>
      </c>
      <c r="J917" s="8" t="s">
        <v>3560</v>
      </c>
      <c r="K917" s="8" t="s">
        <v>3509</v>
      </c>
    </row>
    <row r="918" customFormat="false" ht="23.85" hidden="false" customHeight="false" outlineLevel="0" collapsed="false">
      <c r="A918" s="12" t="s">
        <v>1740</v>
      </c>
      <c r="B918" s="8" t="s">
        <v>1741</v>
      </c>
      <c r="C918" s="8" t="s">
        <v>2209</v>
      </c>
      <c r="D918" s="12" t="s">
        <v>3503</v>
      </c>
      <c r="E918" s="8" t="s">
        <v>3504</v>
      </c>
      <c r="F918" s="8" t="s">
        <v>3557</v>
      </c>
      <c r="G918" s="8" t="s">
        <v>3506</v>
      </c>
      <c r="H918" s="12" t="s">
        <v>195</v>
      </c>
      <c r="I918" s="8" t="s">
        <v>3507</v>
      </c>
      <c r="J918" s="8" t="s">
        <v>3561</v>
      </c>
      <c r="K918" s="8" t="s">
        <v>3509</v>
      </c>
    </row>
    <row r="919" customFormat="false" ht="23.85" hidden="false" customHeight="false" outlineLevel="0" collapsed="false">
      <c r="A919" s="12" t="s">
        <v>1744</v>
      </c>
      <c r="B919" s="8" t="s">
        <v>1745</v>
      </c>
      <c r="C919" s="8" t="s">
        <v>2209</v>
      </c>
      <c r="D919" s="12" t="s">
        <v>3503</v>
      </c>
      <c r="E919" s="8" t="s">
        <v>3504</v>
      </c>
      <c r="F919" s="8" t="s">
        <v>3557</v>
      </c>
      <c r="G919" s="8" t="s">
        <v>3506</v>
      </c>
      <c r="H919" s="12" t="s">
        <v>195</v>
      </c>
      <c r="I919" s="8" t="s">
        <v>3507</v>
      </c>
      <c r="J919" s="8" t="s">
        <v>3562</v>
      </c>
      <c r="K919" s="8" t="s">
        <v>3509</v>
      </c>
    </row>
    <row r="920" customFormat="false" ht="23.85" hidden="false" customHeight="false" outlineLevel="0" collapsed="false">
      <c r="A920" s="12" t="s">
        <v>1750</v>
      </c>
      <c r="B920" s="8" t="s">
        <v>1751</v>
      </c>
      <c r="C920" s="8" t="s">
        <v>2209</v>
      </c>
      <c r="D920" s="12" t="s">
        <v>3503</v>
      </c>
      <c r="E920" s="8" t="s">
        <v>3504</v>
      </c>
      <c r="F920" s="8" t="s">
        <v>3557</v>
      </c>
      <c r="G920" s="8" t="s">
        <v>3506</v>
      </c>
      <c r="H920" s="12" t="s">
        <v>195</v>
      </c>
      <c r="I920" s="8" t="s">
        <v>3507</v>
      </c>
      <c r="J920" s="8" t="s">
        <v>3561</v>
      </c>
      <c r="K920" s="8" t="s">
        <v>3509</v>
      </c>
    </row>
    <row r="921" customFormat="false" ht="23.85" hidden="false" customHeight="false" outlineLevel="0" collapsed="false">
      <c r="A921" s="12" t="s">
        <v>1753</v>
      </c>
      <c r="B921" s="8" t="s">
        <v>1754</v>
      </c>
      <c r="C921" s="8" t="s">
        <v>2209</v>
      </c>
      <c r="D921" s="12" t="s">
        <v>3503</v>
      </c>
      <c r="E921" s="8" t="s">
        <v>3504</v>
      </c>
      <c r="F921" s="8" t="s">
        <v>3563</v>
      </c>
      <c r="G921" s="8" t="s">
        <v>3506</v>
      </c>
      <c r="H921" s="12" t="s">
        <v>195</v>
      </c>
      <c r="I921" s="8" t="s">
        <v>3507</v>
      </c>
      <c r="J921" s="8" t="s">
        <v>3564</v>
      </c>
      <c r="K921" s="8" t="s">
        <v>3509</v>
      </c>
    </row>
    <row r="922" customFormat="false" ht="23.85" hidden="false" customHeight="false" outlineLevel="0" collapsed="false">
      <c r="A922" s="12" t="s">
        <v>1758</v>
      </c>
      <c r="B922" s="8" t="s">
        <v>1759</v>
      </c>
      <c r="C922" s="8" t="s">
        <v>2209</v>
      </c>
      <c r="D922" s="12" t="s">
        <v>3503</v>
      </c>
      <c r="E922" s="8" t="s">
        <v>3504</v>
      </c>
      <c r="F922" s="8" t="s">
        <v>3563</v>
      </c>
      <c r="G922" s="8" t="s">
        <v>3506</v>
      </c>
      <c r="H922" s="12" t="s">
        <v>195</v>
      </c>
      <c r="I922" s="8" t="s">
        <v>3507</v>
      </c>
      <c r="J922" s="8" t="s">
        <v>3565</v>
      </c>
      <c r="K922" s="8" t="s">
        <v>3509</v>
      </c>
    </row>
    <row r="923" customFormat="false" ht="23.85" hidden="false" customHeight="false" outlineLevel="0" collapsed="false">
      <c r="A923" s="12" t="s">
        <v>1763</v>
      </c>
      <c r="B923" s="8" t="s">
        <v>1764</v>
      </c>
      <c r="C923" s="8" t="s">
        <v>2209</v>
      </c>
      <c r="D923" s="12" t="s">
        <v>3503</v>
      </c>
      <c r="E923" s="8" t="s">
        <v>3504</v>
      </c>
      <c r="F923" s="8" t="s">
        <v>3563</v>
      </c>
      <c r="G923" s="8" t="s">
        <v>3506</v>
      </c>
      <c r="H923" s="12" t="s">
        <v>195</v>
      </c>
      <c r="I923" s="8" t="s">
        <v>3507</v>
      </c>
      <c r="J923" s="8" t="s">
        <v>3566</v>
      </c>
      <c r="K923" s="8" t="s">
        <v>3509</v>
      </c>
    </row>
    <row r="924" customFormat="false" ht="23.85" hidden="false" customHeight="false" outlineLevel="0" collapsed="false">
      <c r="A924" s="12" t="s">
        <v>1769</v>
      </c>
      <c r="B924" s="8" t="s">
        <v>1770</v>
      </c>
      <c r="C924" s="8" t="s">
        <v>2209</v>
      </c>
      <c r="D924" s="12" t="s">
        <v>3503</v>
      </c>
      <c r="E924" s="8" t="s">
        <v>3504</v>
      </c>
      <c r="F924" s="8" t="s">
        <v>3563</v>
      </c>
      <c r="G924" s="8" t="s">
        <v>3506</v>
      </c>
      <c r="H924" s="12" t="s">
        <v>195</v>
      </c>
      <c r="I924" s="8" t="s">
        <v>3507</v>
      </c>
      <c r="J924" s="8" t="s">
        <v>3567</v>
      </c>
      <c r="K924" s="8" t="s">
        <v>3509</v>
      </c>
    </row>
    <row r="925" customFormat="false" ht="23.85" hidden="false" customHeight="false" outlineLevel="0" collapsed="false">
      <c r="A925" s="12" t="s">
        <v>1774</v>
      </c>
      <c r="B925" s="8" t="s">
        <v>1776</v>
      </c>
      <c r="C925" s="8" t="s">
        <v>2209</v>
      </c>
      <c r="D925" s="12" t="s">
        <v>3503</v>
      </c>
      <c r="E925" s="8" t="s">
        <v>3504</v>
      </c>
      <c r="F925" s="8" t="s">
        <v>3563</v>
      </c>
      <c r="G925" s="8" t="s">
        <v>3506</v>
      </c>
      <c r="H925" s="12" t="s">
        <v>195</v>
      </c>
      <c r="I925" s="8" t="s">
        <v>3507</v>
      </c>
      <c r="J925" s="8" t="s">
        <v>3568</v>
      </c>
      <c r="K925" s="8" t="s">
        <v>3509</v>
      </c>
    </row>
    <row r="926" customFormat="false" ht="23.85" hidden="false" customHeight="false" outlineLevel="0" collapsed="false">
      <c r="A926" s="12" t="s">
        <v>1781</v>
      </c>
      <c r="B926" s="8" t="s">
        <v>1782</v>
      </c>
      <c r="C926" s="8" t="s">
        <v>2209</v>
      </c>
      <c r="D926" s="12" t="s">
        <v>3503</v>
      </c>
      <c r="E926" s="8" t="s">
        <v>3504</v>
      </c>
      <c r="F926" s="8" t="s">
        <v>3563</v>
      </c>
      <c r="G926" s="8" t="s">
        <v>3506</v>
      </c>
      <c r="H926" s="12" t="s">
        <v>195</v>
      </c>
      <c r="I926" s="8" t="s">
        <v>3507</v>
      </c>
      <c r="J926" s="8" t="s">
        <v>3569</v>
      </c>
      <c r="K926" s="8" t="s">
        <v>3509</v>
      </c>
    </row>
    <row r="927" customFormat="false" ht="23.85" hidden="false" customHeight="false" outlineLevel="0" collapsed="false">
      <c r="A927" s="12" t="s">
        <v>1785</v>
      </c>
      <c r="B927" s="8" t="s">
        <v>1786</v>
      </c>
      <c r="C927" s="8" t="s">
        <v>2209</v>
      </c>
      <c r="D927" s="12" t="s">
        <v>3503</v>
      </c>
      <c r="E927" s="8" t="s">
        <v>3504</v>
      </c>
      <c r="F927" s="8" t="s">
        <v>3563</v>
      </c>
      <c r="G927" s="8" t="s">
        <v>3506</v>
      </c>
      <c r="H927" s="12" t="s">
        <v>195</v>
      </c>
      <c r="I927" s="8" t="s">
        <v>3507</v>
      </c>
      <c r="J927" s="8" t="s">
        <v>3570</v>
      </c>
      <c r="K927" s="8" t="s">
        <v>3509</v>
      </c>
    </row>
    <row r="928" customFormat="false" ht="23.85" hidden="false" customHeight="false" outlineLevel="0" collapsed="false">
      <c r="A928" s="12" t="s">
        <v>1792</v>
      </c>
      <c r="B928" s="8" t="s">
        <v>1794</v>
      </c>
      <c r="C928" s="8" t="s">
        <v>2209</v>
      </c>
      <c r="D928" s="12" t="s">
        <v>3503</v>
      </c>
      <c r="E928" s="8" t="s">
        <v>3504</v>
      </c>
      <c r="F928" s="8" t="s">
        <v>3571</v>
      </c>
      <c r="G928" s="8" t="s">
        <v>3506</v>
      </c>
      <c r="H928" s="12" t="s">
        <v>195</v>
      </c>
      <c r="I928" s="8" t="s">
        <v>3507</v>
      </c>
      <c r="J928" s="8" t="s">
        <v>3572</v>
      </c>
      <c r="K928" s="8" t="s">
        <v>3509</v>
      </c>
    </row>
    <row r="929" customFormat="false" ht="23.85" hidden="false" customHeight="false" outlineLevel="0" collapsed="false">
      <c r="A929" s="12" t="s">
        <v>1799</v>
      </c>
      <c r="B929" s="8" t="s">
        <v>1800</v>
      </c>
      <c r="C929" s="8" t="s">
        <v>2209</v>
      </c>
      <c r="D929" s="12" t="s">
        <v>3503</v>
      </c>
      <c r="E929" s="8" t="s">
        <v>3504</v>
      </c>
      <c r="F929" s="8" t="s">
        <v>3571</v>
      </c>
      <c r="G929" s="8" t="s">
        <v>3506</v>
      </c>
      <c r="H929" s="12" t="s">
        <v>195</v>
      </c>
      <c r="I929" s="8" t="s">
        <v>3507</v>
      </c>
      <c r="J929" s="8" t="s">
        <v>3573</v>
      </c>
      <c r="K929" s="8" t="s">
        <v>3509</v>
      </c>
    </row>
    <row r="930" customFormat="false" ht="23.85" hidden="false" customHeight="false" outlineLevel="0" collapsed="false">
      <c r="A930" s="12" t="s">
        <v>1805</v>
      </c>
      <c r="B930" s="8" t="s">
        <v>1806</v>
      </c>
      <c r="C930" s="8" t="s">
        <v>2209</v>
      </c>
      <c r="D930" s="12" t="s">
        <v>3503</v>
      </c>
      <c r="E930" s="8" t="s">
        <v>3504</v>
      </c>
      <c r="F930" s="8" t="s">
        <v>3571</v>
      </c>
      <c r="G930" s="8" t="s">
        <v>3506</v>
      </c>
      <c r="H930" s="12" t="s">
        <v>195</v>
      </c>
      <c r="I930" s="8" t="s">
        <v>3507</v>
      </c>
      <c r="J930" s="8" t="s">
        <v>3574</v>
      </c>
      <c r="K930" s="8" t="s">
        <v>3509</v>
      </c>
    </row>
    <row r="931" customFormat="false" ht="23.85" hidden="false" customHeight="false" outlineLevel="0" collapsed="false">
      <c r="A931" s="12" t="s">
        <v>1810</v>
      </c>
      <c r="B931" s="8" t="s">
        <v>1811</v>
      </c>
      <c r="C931" s="8" t="s">
        <v>2209</v>
      </c>
      <c r="D931" s="12" t="s">
        <v>3503</v>
      </c>
      <c r="E931" s="8" t="s">
        <v>3504</v>
      </c>
      <c r="F931" s="8" t="s">
        <v>3571</v>
      </c>
      <c r="G931" s="8" t="s">
        <v>3506</v>
      </c>
      <c r="H931" s="12" t="s">
        <v>195</v>
      </c>
      <c r="I931" s="8" t="s">
        <v>3507</v>
      </c>
      <c r="J931" s="8" t="s">
        <v>3575</v>
      </c>
      <c r="K931" s="8" t="s">
        <v>3509</v>
      </c>
    </row>
    <row r="932" customFormat="false" ht="23.85" hidden="false" customHeight="false" outlineLevel="0" collapsed="false">
      <c r="A932" s="12" t="s">
        <v>1815</v>
      </c>
      <c r="B932" s="8" t="s">
        <v>1816</v>
      </c>
      <c r="C932" s="8" t="s">
        <v>2209</v>
      </c>
      <c r="D932" s="12" t="s">
        <v>3503</v>
      </c>
      <c r="E932" s="8" t="s">
        <v>3504</v>
      </c>
      <c r="F932" s="8" t="s">
        <v>3571</v>
      </c>
      <c r="G932" s="8" t="s">
        <v>3506</v>
      </c>
      <c r="H932" s="12" t="s">
        <v>195</v>
      </c>
      <c r="I932" s="8" t="s">
        <v>3507</v>
      </c>
      <c r="J932" s="8" t="s">
        <v>3576</v>
      </c>
      <c r="K932" s="8" t="s">
        <v>3509</v>
      </c>
    </row>
    <row r="933" customFormat="false" ht="23.85" hidden="false" customHeight="false" outlineLevel="0" collapsed="false">
      <c r="A933" s="12" t="s">
        <v>1821</v>
      </c>
      <c r="B933" s="8" t="s">
        <v>1822</v>
      </c>
      <c r="C933" s="8" t="s">
        <v>2209</v>
      </c>
      <c r="D933" s="12" t="s">
        <v>3503</v>
      </c>
      <c r="E933" s="8" t="s">
        <v>3504</v>
      </c>
      <c r="F933" s="8" t="s">
        <v>3571</v>
      </c>
      <c r="G933" s="8" t="s">
        <v>3506</v>
      </c>
      <c r="H933" s="12" t="s">
        <v>195</v>
      </c>
      <c r="I933" s="8" t="s">
        <v>3507</v>
      </c>
      <c r="J933" s="8" t="s">
        <v>3577</v>
      </c>
      <c r="K933" s="8" t="s">
        <v>3509</v>
      </c>
    </row>
    <row r="934" customFormat="false" ht="23.85" hidden="false" customHeight="false" outlineLevel="0" collapsed="false">
      <c r="A934" s="12" t="s">
        <v>1827</v>
      </c>
      <c r="B934" s="8" t="s">
        <v>1828</v>
      </c>
      <c r="C934" s="8" t="s">
        <v>2209</v>
      </c>
      <c r="D934" s="12" t="s">
        <v>3503</v>
      </c>
      <c r="E934" s="8" t="s">
        <v>3504</v>
      </c>
      <c r="F934" s="8" t="s">
        <v>3571</v>
      </c>
      <c r="G934" s="8" t="s">
        <v>3506</v>
      </c>
      <c r="H934" s="12" t="s">
        <v>195</v>
      </c>
      <c r="I934" s="8" t="s">
        <v>3507</v>
      </c>
      <c r="J934" s="8" t="s">
        <v>3578</v>
      </c>
      <c r="K934" s="8" t="s">
        <v>3509</v>
      </c>
    </row>
    <row r="935" customFormat="false" ht="23.85" hidden="false" customHeight="false" outlineLevel="0" collapsed="false">
      <c r="A935" s="12" t="s">
        <v>1832</v>
      </c>
      <c r="B935" s="8" t="s">
        <v>1833</v>
      </c>
      <c r="C935" s="8" t="s">
        <v>2209</v>
      </c>
      <c r="D935" s="12" t="s">
        <v>3503</v>
      </c>
      <c r="E935" s="8" t="s">
        <v>3504</v>
      </c>
      <c r="F935" s="8" t="s">
        <v>3571</v>
      </c>
      <c r="G935" s="8" t="s">
        <v>3506</v>
      </c>
      <c r="H935" s="12" t="s">
        <v>195</v>
      </c>
      <c r="I935" s="8" t="s">
        <v>3507</v>
      </c>
      <c r="J935" s="8" t="s">
        <v>3579</v>
      </c>
      <c r="K935" s="8" t="s">
        <v>3509</v>
      </c>
    </row>
    <row r="936" customFormat="false" ht="23.85" hidden="false" customHeight="false" outlineLevel="0" collapsed="false">
      <c r="A936" s="12" t="s">
        <v>1837</v>
      </c>
      <c r="B936" s="8" t="s">
        <v>1838</v>
      </c>
      <c r="C936" s="8" t="s">
        <v>2209</v>
      </c>
      <c r="D936" s="12" t="s">
        <v>3503</v>
      </c>
      <c r="E936" s="8" t="s">
        <v>3504</v>
      </c>
      <c r="F936" s="8" t="s">
        <v>3571</v>
      </c>
      <c r="G936" s="8" t="s">
        <v>3506</v>
      </c>
      <c r="H936" s="12" t="s">
        <v>195</v>
      </c>
      <c r="I936" s="8" t="s">
        <v>3507</v>
      </c>
      <c r="J936" s="8" t="s">
        <v>3580</v>
      </c>
      <c r="K936" s="8" t="s">
        <v>3509</v>
      </c>
    </row>
    <row r="937" customFormat="false" ht="23.85" hidden="false" customHeight="false" outlineLevel="0" collapsed="false">
      <c r="A937" s="12" t="s">
        <v>1842</v>
      </c>
      <c r="B937" s="8" t="s">
        <v>1843</v>
      </c>
      <c r="C937" s="8" t="s">
        <v>2209</v>
      </c>
      <c r="D937" s="12" t="s">
        <v>3503</v>
      </c>
      <c r="E937" s="8" t="s">
        <v>3504</v>
      </c>
      <c r="F937" s="8" t="s">
        <v>3571</v>
      </c>
      <c r="G937" s="8" t="s">
        <v>3506</v>
      </c>
      <c r="H937" s="12" t="s">
        <v>195</v>
      </c>
      <c r="I937" s="8" t="s">
        <v>3507</v>
      </c>
      <c r="J937" s="8" t="s">
        <v>3581</v>
      </c>
      <c r="K937" s="8" t="s">
        <v>3509</v>
      </c>
    </row>
    <row r="938" customFormat="false" ht="35.05" hidden="false" customHeight="false" outlineLevel="0" collapsed="false">
      <c r="A938" s="12" t="s">
        <v>1847</v>
      </c>
      <c r="B938" s="8" t="s">
        <v>1848</v>
      </c>
      <c r="C938" s="8" t="s">
        <v>2209</v>
      </c>
      <c r="D938" s="12" t="s">
        <v>3503</v>
      </c>
      <c r="E938" s="8" t="s">
        <v>3504</v>
      </c>
      <c r="F938" s="8" t="s">
        <v>3571</v>
      </c>
      <c r="G938" s="8" t="s">
        <v>3506</v>
      </c>
      <c r="H938" s="12" t="s">
        <v>195</v>
      </c>
      <c r="I938" s="8" t="s">
        <v>3507</v>
      </c>
      <c r="J938" s="8" t="s">
        <v>3582</v>
      </c>
      <c r="K938" s="8" t="s">
        <v>3509</v>
      </c>
    </row>
    <row r="939" customFormat="false" ht="23.85" hidden="false" customHeight="false" outlineLevel="0" collapsed="false">
      <c r="A939" s="12" t="s">
        <v>1852</v>
      </c>
      <c r="B939" s="8" t="s">
        <v>1853</v>
      </c>
      <c r="C939" s="8" t="s">
        <v>2209</v>
      </c>
      <c r="D939" s="12" t="s">
        <v>3503</v>
      </c>
      <c r="E939" s="8" t="s">
        <v>3504</v>
      </c>
      <c r="F939" s="8" t="s">
        <v>3583</v>
      </c>
      <c r="G939" s="8" t="s">
        <v>3506</v>
      </c>
      <c r="H939" s="12" t="s">
        <v>195</v>
      </c>
      <c r="I939" s="8" t="s">
        <v>3507</v>
      </c>
      <c r="J939" s="8" t="s">
        <v>3584</v>
      </c>
      <c r="K939" s="8" t="s">
        <v>3509</v>
      </c>
    </row>
    <row r="940" customFormat="false" ht="23.85" hidden="false" customHeight="false" outlineLevel="0" collapsed="false">
      <c r="A940" s="12" t="s">
        <v>1857</v>
      </c>
      <c r="B940" s="8" t="s">
        <v>1858</v>
      </c>
      <c r="C940" s="8" t="s">
        <v>2209</v>
      </c>
      <c r="D940" s="12" t="s">
        <v>3503</v>
      </c>
      <c r="E940" s="8" t="s">
        <v>3504</v>
      </c>
      <c r="F940" s="8" t="s">
        <v>3583</v>
      </c>
      <c r="G940" s="8" t="s">
        <v>3506</v>
      </c>
      <c r="H940" s="12" t="s">
        <v>195</v>
      </c>
      <c r="I940" s="8" t="s">
        <v>3507</v>
      </c>
      <c r="J940" s="8" t="s">
        <v>3585</v>
      </c>
      <c r="K940" s="8" t="s">
        <v>3509</v>
      </c>
    </row>
    <row r="941" customFormat="false" ht="23.85" hidden="false" customHeight="false" outlineLevel="0" collapsed="false">
      <c r="A941" s="12" t="s">
        <v>1862</v>
      </c>
      <c r="B941" s="8" t="s">
        <v>1863</v>
      </c>
      <c r="C941" s="8" t="s">
        <v>2209</v>
      </c>
      <c r="D941" s="12" t="s">
        <v>3503</v>
      </c>
      <c r="E941" s="8" t="s">
        <v>3504</v>
      </c>
      <c r="F941" s="8" t="s">
        <v>3583</v>
      </c>
      <c r="G941" s="8" t="s">
        <v>3506</v>
      </c>
      <c r="H941" s="12" t="s">
        <v>195</v>
      </c>
      <c r="I941" s="8" t="s">
        <v>3507</v>
      </c>
      <c r="J941" s="8" t="s">
        <v>3586</v>
      </c>
      <c r="K941" s="8" t="s">
        <v>3509</v>
      </c>
    </row>
    <row r="942" customFormat="false" ht="23.85" hidden="false" customHeight="false" outlineLevel="0" collapsed="false">
      <c r="A942" s="12" t="s">
        <v>1867</v>
      </c>
      <c r="B942" s="8" t="s">
        <v>1868</v>
      </c>
      <c r="C942" s="8" t="s">
        <v>2209</v>
      </c>
      <c r="D942" s="12" t="s">
        <v>3503</v>
      </c>
      <c r="E942" s="8" t="s">
        <v>3504</v>
      </c>
      <c r="F942" s="8" t="s">
        <v>3583</v>
      </c>
      <c r="G942" s="8" t="s">
        <v>3506</v>
      </c>
      <c r="H942" s="12" t="s">
        <v>195</v>
      </c>
      <c r="I942" s="8" t="s">
        <v>3507</v>
      </c>
      <c r="J942" s="8" t="s">
        <v>3587</v>
      </c>
      <c r="K942" s="8" t="s">
        <v>3509</v>
      </c>
    </row>
    <row r="943" customFormat="false" ht="23.85" hidden="false" customHeight="false" outlineLevel="0" collapsed="false">
      <c r="A943" s="12" t="s">
        <v>1873</v>
      </c>
      <c r="B943" s="8" t="s">
        <v>1874</v>
      </c>
      <c r="C943" s="8" t="s">
        <v>2209</v>
      </c>
      <c r="D943" s="12" t="s">
        <v>3503</v>
      </c>
      <c r="E943" s="8" t="s">
        <v>3504</v>
      </c>
      <c r="F943" s="8" t="s">
        <v>3583</v>
      </c>
      <c r="G943" s="8" t="s">
        <v>3506</v>
      </c>
      <c r="H943" s="12" t="s">
        <v>195</v>
      </c>
      <c r="I943" s="8" t="s">
        <v>3507</v>
      </c>
      <c r="J943" s="8" t="s">
        <v>3588</v>
      </c>
      <c r="K943" s="8" t="s">
        <v>3509</v>
      </c>
    </row>
    <row r="944" customFormat="false" ht="23.85" hidden="false" customHeight="false" outlineLevel="0" collapsed="false">
      <c r="A944" s="12" t="s">
        <v>1877</v>
      </c>
      <c r="B944" s="8" t="s">
        <v>1878</v>
      </c>
      <c r="C944" s="8" t="s">
        <v>2209</v>
      </c>
      <c r="D944" s="12" t="s">
        <v>3503</v>
      </c>
      <c r="E944" s="8" t="s">
        <v>3504</v>
      </c>
      <c r="F944" s="8" t="s">
        <v>3583</v>
      </c>
      <c r="G944" s="8" t="s">
        <v>3506</v>
      </c>
      <c r="H944" s="12" t="s">
        <v>195</v>
      </c>
      <c r="I944" s="8" t="s">
        <v>3507</v>
      </c>
      <c r="J944" s="8" t="s">
        <v>3589</v>
      </c>
      <c r="K944" s="8" t="s">
        <v>3509</v>
      </c>
    </row>
    <row r="945" customFormat="false" ht="23.85" hidden="false" customHeight="false" outlineLevel="0" collapsed="false">
      <c r="A945" s="12" t="s">
        <v>1883</v>
      </c>
      <c r="B945" s="8" t="s">
        <v>1884</v>
      </c>
      <c r="C945" s="8" t="s">
        <v>2209</v>
      </c>
      <c r="D945" s="12" t="s">
        <v>3503</v>
      </c>
      <c r="E945" s="8" t="s">
        <v>3504</v>
      </c>
      <c r="F945" s="8" t="s">
        <v>3583</v>
      </c>
      <c r="G945" s="8" t="s">
        <v>3506</v>
      </c>
      <c r="H945" s="12" t="s">
        <v>195</v>
      </c>
      <c r="I945" s="8" t="s">
        <v>3507</v>
      </c>
      <c r="J945" s="8" t="s">
        <v>3590</v>
      </c>
      <c r="K945" s="8" t="s">
        <v>3509</v>
      </c>
    </row>
    <row r="946" customFormat="false" ht="23.85" hidden="false" customHeight="false" outlineLevel="0" collapsed="false">
      <c r="A946" s="12" t="s">
        <v>1889</v>
      </c>
      <c r="B946" s="8" t="s">
        <v>1890</v>
      </c>
      <c r="C946" s="8" t="s">
        <v>2209</v>
      </c>
      <c r="D946" s="12" t="s">
        <v>3503</v>
      </c>
      <c r="E946" s="8" t="s">
        <v>3504</v>
      </c>
      <c r="F946" s="8" t="s">
        <v>3583</v>
      </c>
      <c r="G946" s="8" t="s">
        <v>3506</v>
      </c>
      <c r="H946" s="12" t="s">
        <v>195</v>
      </c>
      <c r="I946" s="8" t="s">
        <v>3507</v>
      </c>
      <c r="J946" s="8" t="s">
        <v>3591</v>
      </c>
      <c r="K946" s="8" t="s">
        <v>3509</v>
      </c>
    </row>
    <row r="947" customFormat="false" ht="23.85" hidden="false" customHeight="false" outlineLevel="0" collapsed="false">
      <c r="A947" s="12" t="s">
        <v>1895</v>
      </c>
      <c r="B947" s="8" t="s">
        <v>1897</v>
      </c>
      <c r="C947" s="8" t="s">
        <v>2209</v>
      </c>
      <c r="D947" s="12" t="s">
        <v>3503</v>
      </c>
      <c r="E947" s="8" t="s">
        <v>3504</v>
      </c>
      <c r="F947" s="8" t="s">
        <v>3583</v>
      </c>
      <c r="G947" s="8" t="s">
        <v>3506</v>
      </c>
      <c r="H947" s="12" t="s">
        <v>195</v>
      </c>
      <c r="I947" s="8" t="s">
        <v>3507</v>
      </c>
      <c r="J947" s="8" t="s">
        <v>3592</v>
      </c>
      <c r="K947" s="8" t="s">
        <v>3509</v>
      </c>
    </row>
    <row r="948" customFormat="false" ht="23.85" hidden="false" customHeight="false" outlineLevel="0" collapsed="false">
      <c r="A948" s="12" t="s">
        <v>1902</v>
      </c>
      <c r="B948" s="8" t="s">
        <v>1905</v>
      </c>
      <c r="C948" s="8" t="s">
        <v>2209</v>
      </c>
      <c r="D948" s="12" t="s">
        <v>3503</v>
      </c>
      <c r="E948" s="8" t="s">
        <v>3504</v>
      </c>
      <c r="F948" s="8" t="s">
        <v>3593</v>
      </c>
      <c r="G948" s="8" t="s">
        <v>3506</v>
      </c>
      <c r="H948" s="12" t="s">
        <v>195</v>
      </c>
      <c r="I948" s="8" t="s">
        <v>3507</v>
      </c>
      <c r="J948" s="8" t="s">
        <v>3594</v>
      </c>
      <c r="K948" s="8" t="s">
        <v>3509</v>
      </c>
    </row>
    <row r="949" customFormat="false" ht="23.85" hidden="false" customHeight="false" outlineLevel="0" collapsed="false">
      <c r="A949" s="12" t="s">
        <v>1909</v>
      </c>
      <c r="B949" s="8" t="s">
        <v>1911</v>
      </c>
      <c r="C949" s="8" t="s">
        <v>2209</v>
      </c>
      <c r="D949" s="12" t="s">
        <v>3503</v>
      </c>
      <c r="E949" s="8" t="s">
        <v>3504</v>
      </c>
      <c r="F949" s="8" t="s">
        <v>3593</v>
      </c>
      <c r="G949" s="8" t="s">
        <v>3506</v>
      </c>
      <c r="H949" s="12" t="s">
        <v>195</v>
      </c>
      <c r="I949" s="8" t="s">
        <v>3507</v>
      </c>
      <c r="J949" s="8" t="s">
        <v>3595</v>
      </c>
      <c r="K949" s="8" t="s">
        <v>3509</v>
      </c>
    </row>
    <row r="950" customFormat="false" ht="35.05" hidden="false" customHeight="false" outlineLevel="0" collapsed="false">
      <c r="A950" s="12" t="s">
        <v>1915</v>
      </c>
      <c r="B950" s="8" t="s">
        <v>1917</v>
      </c>
      <c r="C950" s="8" t="s">
        <v>2209</v>
      </c>
      <c r="D950" s="12" t="s">
        <v>3503</v>
      </c>
      <c r="E950" s="8" t="s">
        <v>3504</v>
      </c>
      <c r="F950" s="8" t="s">
        <v>3593</v>
      </c>
      <c r="G950" s="8" t="s">
        <v>3506</v>
      </c>
      <c r="H950" s="12" t="s">
        <v>195</v>
      </c>
      <c r="I950" s="8" t="s">
        <v>3507</v>
      </c>
      <c r="J950" s="8" t="s">
        <v>3596</v>
      </c>
      <c r="K950" s="8" t="s">
        <v>3509</v>
      </c>
    </row>
    <row r="951" customFormat="false" ht="23.85" hidden="false" customHeight="false" outlineLevel="0" collapsed="false">
      <c r="A951" s="12" t="s">
        <v>1921</v>
      </c>
      <c r="B951" s="8" t="s">
        <v>1923</v>
      </c>
      <c r="C951" s="8" t="s">
        <v>2209</v>
      </c>
      <c r="D951" s="12" t="s">
        <v>3503</v>
      </c>
      <c r="E951" s="8" t="s">
        <v>3504</v>
      </c>
      <c r="F951" s="8" t="s">
        <v>3593</v>
      </c>
      <c r="G951" s="8" t="s">
        <v>3506</v>
      </c>
      <c r="H951" s="12" t="s">
        <v>195</v>
      </c>
      <c r="I951" s="8" t="s">
        <v>3507</v>
      </c>
      <c r="J951" s="8" t="s">
        <v>3597</v>
      </c>
      <c r="K951" s="8" t="s">
        <v>3509</v>
      </c>
    </row>
    <row r="952" customFormat="false" ht="23.85" hidden="false" customHeight="false" outlineLevel="0" collapsed="false">
      <c r="A952" s="12" t="s">
        <v>1927</v>
      </c>
      <c r="B952" s="8" t="s">
        <v>1929</v>
      </c>
      <c r="C952" s="8" t="s">
        <v>2209</v>
      </c>
      <c r="D952" s="12" t="s">
        <v>3503</v>
      </c>
      <c r="E952" s="8" t="s">
        <v>3504</v>
      </c>
      <c r="F952" s="8" t="s">
        <v>3593</v>
      </c>
      <c r="G952" s="8" t="s">
        <v>3506</v>
      </c>
      <c r="H952" s="12" t="s">
        <v>195</v>
      </c>
      <c r="I952" s="8" t="s">
        <v>3507</v>
      </c>
      <c r="J952" s="8" t="s">
        <v>3598</v>
      </c>
      <c r="K952" s="8" t="s">
        <v>3509</v>
      </c>
    </row>
    <row r="953" customFormat="false" ht="23.85" hidden="false" customHeight="false" outlineLevel="0" collapsed="false">
      <c r="A953" s="12" t="s">
        <v>1934</v>
      </c>
      <c r="B953" s="8" t="s">
        <v>1936</v>
      </c>
      <c r="C953" s="8" t="s">
        <v>2209</v>
      </c>
      <c r="D953" s="12" t="s">
        <v>3503</v>
      </c>
      <c r="E953" s="8" t="s">
        <v>3504</v>
      </c>
      <c r="F953" s="8" t="s">
        <v>3593</v>
      </c>
      <c r="G953" s="8" t="s">
        <v>3506</v>
      </c>
      <c r="H953" s="12" t="s">
        <v>195</v>
      </c>
      <c r="I953" s="8" t="s">
        <v>3507</v>
      </c>
      <c r="J953" s="8" t="s">
        <v>3594</v>
      </c>
      <c r="K953" s="8" t="s">
        <v>3509</v>
      </c>
    </row>
    <row r="954" customFormat="false" ht="23.85" hidden="false" customHeight="false" outlineLevel="0" collapsed="false">
      <c r="A954" s="12" t="s">
        <v>1939</v>
      </c>
      <c r="B954" s="8" t="s">
        <v>1941</v>
      </c>
      <c r="C954" s="8" t="s">
        <v>2209</v>
      </c>
      <c r="D954" s="12" t="s">
        <v>3503</v>
      </c>
      <c r="E954" s="8" t="s">
        <v>3504</v>
      </c>
      <c r="F954" s="8" t="s">
        <v>3593</v>
      </c>
      <c r="G954" s="8" t="s">
        <v>3506</v>
      </c>
      <c r="H954" s="12" t="s">
        <v>195</v>
      </c>
      <c r="I954" s="8" t="s">
        <v>3507</v>
      </c>
      <c r="J954" s="8" t="s">
        <v>3594</v>
      </c>
      <c r="K954" s="8" t="s">
        <v>3509</v>
      </c>
    </row>
    <row r="955" customFormat="false" ht="23.85" hidden="false" customHeight="false" outlineLevel="0" collapsed="false">
      <c r="A955" s="12" t="s">
        <v>1944</v>
      </c>
      <c r="B955" s="8" t="s">
        <v>1947</v>
      </c>
      <c r="C955" s="8" t="s">
        <v>2209</v>
      </c>
      <c r="D955" s="12" t="s">
        <v>3503</v>
      </c>
      <c r="E955" s="8" t="s">
        <v>3504</v>
      </c>
      <c r="F955" s="8" t="s">
        <v>3593</v>
      </c>
      <c r="G955" s="8" t="s">
        <v>3506</v>
      </c>
      <c r="H955" s="12" t="s">
        <v>195</v>
      </c>
      <c r="I955" s="8" t="s">
        <v>3507</v>
      </c>
      <c r="J955" s="8" t="s">
        <v>3599</v>
      </c>
      <c r="K955" s="8" t="s">
        <v>3509</v>
      </c>
    </row>
    <row r="956" customFormat="false" ht="23.85" hidden="false" customHeight="false" outlineLevel="0" collapsed="false">
      <c r="A956" s="12" t="s">
        <v>1951</v>
      </c>
      <c r="B956" s="8" t="s">
        <v>1953</v>
      </c>
      <c r="C956" s="8" t="s">
        <v>2209</v>
      </c>
      <c r="D956" s="12" t="s">
        <v>3503</v>
      </c>
      <c r="E956" s="8" t="s">
        <v>3504</v>
      </c>
      <c r="F956" s="8" t="s">
        <v>3593</v>
      </c>
      <c r="G956" s="8" t="s">
        <v>3506</v>
      </c>
      <c r="H956" s="12" t="s">
        <v>195</v>
      </c>
      <c r="I956" s="8" t="s">
        <v>3507</v>
      </c>
      <c r="J956" s="8" t="s">
        <v>3600</v>
      </c>
      <c r="K956" s="8" t="s">
        <v>3509</v>
      </c>
    </row>
    <row r="957" customFormat="false" ht="23.85" hidden="false" customHeight="false" outlineLevel="0" collapsed="false">
      <c r="A957" s="12" t="s">
        <v>1957</v>
      </c>
      <c r="B957" s="8" t="s">
        <v>1958</v>
      </c>
      <c r="C957" s="8" t="s">
        <v>2209</v>
      </c>
      <c r="D957" s="12" t="s">
        <v>3503</v>
      </c>
      <c r="E957" s="8" t="s">
        <v>3504</v>
      </c>
      <c r="F957" s="8" t="s">
        <v>3593</v>
      </c>
      <c r="G957" s="8" t="s">
        <v>3506</v>
      </c>
      <c r="H957" s="12" t="s">
        <v>195</v>
      </c>
      <c r="I957" s="8" t="s">
        <v>3507</v>
      </c>
      <c r="J957" s="8" t="s">
        <v>3601</v>
      </c>
      <c r="K957" s="8" t="s">
        <v>3509</v>
      </c>
    </row>
    <row r="958" customFormat="false" ht="23.85" hidden="false" customHeight="false" outlineLevel="0" collapsed="false">
      <c r="A958" s="12" t="s">
        <v>1962</v>
      </c>
      <c r="B958" s="8" t="s">
        <v>1964</v>
      </c>
      <c r="C958" s="8" t="s">
        <v>2209</v>
      </c>
      <c r="D958" s="12" t="s">
        <v>3503</v>
      </c>
      <c r="E958" s="8" t="s">
        <v>3504</v>
      </c>
      <c r="F958" s="8" t="s">
        <v>3593</v>
      </c>
      <c r="G958" s="8" t="s">
        <v>3506</v>
      </c>
      <c r="H958" s="12" t="s">
        <v>195</v>
      </c>
      <c r="I958" s="8" t="s">
        <v>3507</v>
      </c>
      <c r="J958" s="8" t="s">
        <v>3602</v>
      </c>
      <c r="K958" s="8" t="s">
        <v>3509</v>
      </c>
    </row>
    <row r="959" customFormat="false" ht="23.85" hidden="false" customHeight="false" outlineLevel="0" collapsed="false">
      <c r="A959" s="12" t="s">
        <v>1968</v>
      </c>
      <c r="B959" s="8" t="s">
        <v>1970</v>
      </c>
      <c r="C959" s="8" t="s">
        <v>2209</v>
      </c>
      <c r="D959" s="12" t="s">
        <v>3503</v>
      </c>
      <c r="E959" s="8" t="s">
        <v>3504</v>
      </c>
      <c r="F959" s="8" t="s">
        <v>3593</v>
      </c>
      <c r="G959" s="8" t="s">
        <v>3506</v>
      </c>
      <c r="H959" s="12" t="s">
        <v>195</v>
      </c>
      <c r="I959" s="8" t="s">
        <v>3507</v>
      </c>
      <c r="J959" s="8" t="s">
        <v>3603</v>
      </c>
      <c r="K959" s="8" t="s">
        <v>3509</v>
      </c>
    </row>
    <row r="960" customFormat="false" ht="23.85" hidden="false" customHeight="false" outlineLevel="0" collapsed="false">
      <c r="A960" s="12" t="s">
        <v>1974</v>
      </c>
      <c r="B960" s="8" t="s">
        <v>1975</v>
      </c>
      <c r="C960" s="8" t="s">
        <v>2209</v>
      </c>
      <c r="D960" s="12" t="s">
        <v>3503</v>
      </c>
      <c r="E960" s="8" t="s">
        <v>3504</v>
      </c>
      <c r="F960" s="8" t="s">
        <v>3593</v>
      </c>
      <c r="G960" s="8" t="s">
        <v>3506</v>
      </c>
      <c r="H960" s="12" t="s">
        <v>195</v>
      </c>
      <c r="I960" s="8" t="s">
        <v>3507</v>
      </c>
      <c r="J960" s="8" t="s">
        <v>3604</v>
      </c>
      <c r="K960" s="8" t="s">
        <v>3509</v>
      </c>
    </row>
  </sheetData>
  <autoFilter ref="A1:K96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0" width="7"/>
    <col collapsed="false" customWidth="true" hidden="false" outlineLevel="0" max="2" min="2" style="0" width="38"/>
    <col collapsed="false" customWidth="true" hidden="false" outlineLevel="0" max="3" min="3" style="0" width="28"/>
    <col collapsed="false" customWidth="true" hidden="false" outlineLevel="0" max="4" min="4" style="0" width="24"/>
    <col collapsed="false" customWidth="true" hidden="false" outlineLevel="0" max="5" min="5" style="0" width="22"/>
    <col collapsed="false" customWidth="true" hidden="false" outlineLevel="0" max="6" min="6" style="0" width="58"/>
    <col collapsed="false" customWidth="true" hidden="false" outlineLevel="0" max="7" min="7" style="0" width="11"/>
    <col collapsed="false" customWidth="true" hidden="false" outlineLevel="0" max="9" min="8" style="0" width="12"/>
    <col collapsed="false" customWidth="true" hidden="false" outlineLevel="0" max="10" min="10" style="0" width="70"/>
  </cols>
  <sheetData>
    <row r="1" customFormat="false" ht="42" hidden="false" customHeight="true" outlineLevel="0" collapsed="false">
      <c r="A1" s="6" t="s">
        <v>2205</v>
      </c>
      <c r="B1" s="6" t="s">
        <v>3605</v>
      </c>
      <c r="C1" s="6" t="s">
        <v>3606</v>
      </c>
      <c r="D1" s="6" t="s">
        <v>3607</v>
      </c>
      <c r="E1" s="6" t="s">
        <v>3608</v>
      </c>
      <c r="F1" s="6" t="s">
        <v>3609</v>
      </c>
      <c r="G1" s="6" t="s">
        <v>3610</v>
      </c>
      <c r="H1" s="6" t="s">
        <v>3611</v>
      </c>
      <c r="I1" s="6" t="s">
        <v>3612</v>
      </c>
      <c r="J1" s="6" t="s">
        <v>3613</v>
      </c>
    </row>
    <row r="2" customFormat="false" ht="37.5" hidden="false" customHeight="true" outlineLevel="0" collapsed="false">
      <c r="A2" s="12" t="s">
        <v>171</v>
      </c>
      <c r="B2" s="8" t="s">
        <v>3614</v>
      </c>
      <c r="C2" s="8" t="s">
        <v>3615</v>
      </c>
      <c r="D2" s="8" t="s">
        <v>3616</v>
      </c>
      <c r="E2" s="8" t="s">
        <v>3617</v>
      </c>
      <c r="F2" s="8" t="s">
        <v>3618</v>
      </c>
      <c r="G2" s="12" t="n">
        <f aca="false">COUNTIF(Traceability!$D$2:$D$869,A2)</f>
        <v>302</v>
      </c>
      <c r="H2" s="12" t="n">
        <f aca="false">COUNTA('ROW Features'!M4:M326)</f>
        <v>156</v>
      </c>
      <c r="I2" s="12" t="n">
        <f aca="false">COUNTA('City-County ROW Use'!M4:M49)</f>
        <v>0</v>
      </c>
      <c r="J2" s="8" t="s">
        <v>3619</v>
      </c>
    </row>
    <row r="3" customFormat="false" ht="24.75" hidden="false" customHeight="true" outlineLevel="0" collapsed="false">
      <c r="A3" s="12" t="s">
        <v>172</v>
      </c>
      <c r="B3" s="8" t="s">
        <v>3620</v>
      </c>
      <c r="C3" s="8" t="s">
        <v>3621</v>
      </c>
      <c r="D3" s="8" t="s">
        <v>3622</v>
      </c>
      <c r="E3" s="8" t="s">
        <v>3617</v>
      </c>
      <c r="F3" s="8" t="s">
        <v>3623</v>
      </c>
      <c r="G3" s="12" t="n">
        <f aca="false">COUNTIF(Traceability!$D$2:$D$869,A3)</f>
        <v>181</v>
      </c>
      <c r="H3" s="12" t="n">
        <f aca="false">COUNTA('ROW Features'!N4:N326)</f>
        <v>122</v>
      </c>
      <c r="I3" s="12" t="n">
        <f aca="false">COUNTA('City-County ROW Use'!N4:N49)</f>
        <v>0</v>
      </c>
      <c r="J3" s="8" t="s">
        <v>3624</v>
      </c>
    </row>
    <row r="4" customFormat="false" ht="24.75" hidden="false" customHeight="true" outlineLevel="0" collapsed="false">
      <c r="A4" s="12" t="s">
        <v>173</v>
      </c>
      <c r="B4" s="8" t="s">
        <v>3625</v>
      </c>
      <c r="C4" s="8" t="s">
        <v>3626</v>
      </c>
      <c r="D4" s="8" t="s">
        <v>3627</v>
      </c>
      <c r="E4" s="8" t="s">
        <v>3628</v>
      </c>
      <c r="F4" s="8" t="s">
        <v>3629</v>
      </c>
      <c r="G4" s="12" t="n">
        <f aca="false">COUNTIF(Traceability!$D$2:$D$869,A4)</f>
        <v>46</v>
      </c>
      <c r="H4" s="12" t="n">
        <f aca="false">COUNTA('ROW Features'!O4:O326)</f>
        <v>35</v>
      </c>
      <c r="I4" s="12" t="n">
        <f aca="false">COUNTA('City-County ROW Use'!O4:O49)</f>
        <v>5</v>
      </c>
      <c r="J4" s="8" t="s">
        <v>3630</v>
      </c>
    </row>
    <row r="5" customFormat="false" ht="24.75" hidden="false" customHeight="true" outlineLevel="0" collapsed="false">
      <c r="A5" s="12" t="s">
        <v>174</v>
      </c>
      <c r="B5" s="8" t="s">
        <v>3631</v>
      </c>
      <c r="C5" s="8" t="s">
        <v>3632</v>
      </c>
      <c r="D5" s="8" t="s">
        <v>3633</v>
      </c>
      <c r="E5" s="8" t="s">
        <v>3617</v>
      </c>
      <c r="F5" s="8" t="s">
        <v>3634</v>
      </c>
      <c r="G5" s="12" t="n">
        <f aca="false">COUNTIF(Traceability!$D$2:$D$869,A5)</f>
        <v>37</v>
      </c>
      <c r="H5" s="12" t="n">
        <f aca="false">COUNTA('ROW Features'!P4:P326)</f>
        <v>32</v>
      </c>
      <c r="I5" s="12" t="n">
        <f aca="false">COUNTA('City-County ROW Use'!P4:P49)</f>
        <v>0</v>
      </c>
      <c r="J5" s="8" t="s">
        <v>3635</v>
      </c>
    </row>
    <row r="6" customFormat="false" ht="37.5" hidden="false" customHeight="true" outlineLevel="0" collapsed="false">
      <c r="A6" s="12" t="s">
        <v>175</v>
      </c>
      <c r="B6" s="8" t="s">
        <v>3636</v>
      </c>
      <c r="C6" s="8" t="s">
        <v>3637</v>
      </c>
      <c r="D6" s="8" t="s">
        <v>3638</v>
      </c>
      <c r="E6" s="8" t="s">
        <v>3617</v>
      </c>
      <c r="F6" s="8" t="s">
        <v>3639</v>
      </c>
      <c r="G6" s="12" t="n">
        <f aca="false">COUNTIF(Traceability!$D$2:$D$869,A6)</f>
        <v>47</v>
      </c>
      <c r="H6" s="12" t="n">
        <f aca="false">COUNTA('ROW Features'!Q4:Q326)</f>
        <v>40</v>
      </c>
      <c r="I6" s="12" t="n">
        <f aca="false">COUNTA('City-County ROW Use'!Q4:Q49)</f>
        <v>0</v>
      </c>
      <c r="J6" s="8" t="s">
        <v>3640</v>
      </c>
    </row>
    <row r="7" customFormat="false" ht="49.5" hidden="false" customHeight="true" outlineLevel="0" collapsed="false">
      <c r="A7" s="12" t="s">
        <v>176</v>
      </c>
      <c r="B7" s="8" t="s">
        <v>3641</v>
      </c>
      <c r="C7" s="8" t="s">
        <v>3642</v>
      </c>
      <c r="D7" s="8" t="s">
        <v>3643</v>
      </c>
      <c r="E7" s="8" t="s">
        <v>3644</v>
      </c>
      <c r="F7" s="8" t="s">
        <v>3645</v>
      </c>
      <c r="G7" s="12" t="n">
        <f aca="false">COUNTIF(Traceability!$D$2:$D$869,A7)</f>
        <v>66</v>
      </c>
      <c r="H7" s="12" t="n">
        <f aca="false">COUNTA('ROW Features'!R4:R326)</f>
        <v>42</v>
      </c>
      <c r="I7" s="12" t="n">
        <f aca="false">COUNTA('City-County ROW Use'!R4:R49)</f>
        <v>1</v>
      </c>
      <c r="J7" s="8" t="s">
        <v>3646</v>
      </c>
    </row>
    <row r="8" customFormat="false" ht="24.75" hidden="false" customHeight="true" outlineLevel="0" collapsed="false">
      <c r="A8" s="12" t="s">
        <v>1981</v>
      </c>
      <c r="B8" s="8" t="s">
        <v>3647</v>
      </c>
      <c r="C8" s="8" t="s">
        <v>3648</v>
      </c>
      <c r="D8" s="8" t="s">
        <v>3649</v>
      </c>
      <c r="E8" s="8" t="s">
        <v>3650</v>
      </c>
      <c r="F8" s="8" t="s">
        <v>3651</v>
      </c>
      <c r="G8" s="12" t="n">
        <f aca="false">COUNTIF(Traceability!$D$2:$D$869,A8)</f>
        <v>17</v>
      </c>
      <c r="H8" s="12" t="s">
        <v>3652</v>
      </c>
      <c r="I8" s="12" t="n">
        <f aca="false">COUNTA('City-County ROW Use'!S4:S49)</f>
        <v>4</v>
      </c>
      <c r="J8" s="8" t="s">
        <v>3653</v>
      </c>
    </row>
    <row r="9" customFormat="false" ht="24.75" hidden="false" customHeight="true" outlineLevel="0" collapsed="false">
      <c r="A9" s="12" t="s">
        <v>1982</v>
      </c>
      <c r="B9" s="8" t="s">
        <v>3654</v>
      </c>
      <c r="C9" s="8" t="s">
        <v>3655</v>
      </c>
      <c r="D9" s="8" t="s">
        <v>3656</v>
      </c>
      <c r="E9" s="8" t="s">
        <v>3650</v>
      </c>
      <c r="F9" s="8" t="s">
        <v>3657</v>
      </c>
      <c r="G9" s="12" t="n">
        <f aca="false">COUNTIF(Traceability!$D$2:$D$869,A9)</f>
        <v>37</v>
      </c>
      <c r="H9" s="12" t="s">
        <v>3652</v>
      </c>
      <c r="I9" s="12" t="n">
        <f aca="false">COUNTA('City-County ROW Use'!T4:T49)</f>
        <v>14</v>
      </c>
      <c r="J9" s="8" t="s">
        <v>3658</v>
      </c>
    </row>
    <row r="10" customFormat="false" ht="24.75" hidden="false" customHeight="true" outlineLevel="0" collapsed="false">
      <c r="A10" s="12" t="s">
        <v>1983</v>
      </c>
      <c r="B10" s="8" t="s">
        <v>3659</v>
      </c>
      <c r="C10" s="8" t="s">
        <v>3660</v>
      </c>
      <c r="D10" s="8" t="s">
        <v>3661</v>
      </c>
      <c r="E10" s="8" t="s">
        <v>3650</v>
      </c>
      <c r="F10" s="8" t="s">
        <v>3662</v>
      </c>
      <c r="G10" s="12" t="n">
        <f aca="false">COUNTIF(Traceability!$D$2:$D$869,A10)</f>
        <v>100</v>
      </c>
      <c r="H10" s="12" t="s">
        <v>3652</v>
      </c>
      <c r="I10" s="12" t="n">
        <f aca="false">COUNTA('City-County ROW Use'!U4:U49)</f>
        <v>34</v>
      </c>
      <c r="J10" s="8" t="s">
        <v>3635</v>
      </c>
    </row>
    <row r="11" customFormat="false" ht="24.75" hidden="false" customHeight="true" outlineLevel="0" collapsed="false">
      <c r="A11" s="12" t="s">
        <v>1984</v>
      </c>
      <c r="B11" s="8" t="s">
        <v>3663</v>
      </c>
      <c r="C11" s="8" t="s">
        <v>3664</v>
      </c>
      <c r="D11" s="8" t="s">
        <v>3665</v>
      </c>
      <c r="E11" s="8" t="s">
        <v>3650</v>
      </c>
      <c r="F11" s="8" t="s">
        <v>3666</v>
      </c>
      <c r="G11" s="12" t="n">
        <f aca="false">COUNTIF(Traceability!$D$2:$D$869,A11)</f>
        <v>35</v>
      </c>
      <c r="H11" s="12" t="s">
        <v>3652</v>
      </c>
      <c r="I11" s="12" t="n">
        <f aca="false">COUNTA('City-County ROW Use'!V4:V49)</f>
        <v>11</v>
      </c>
      <c r="J11" s="8" t="s">
        <v>3667</v>
      </c>
    </row>
    <row r="12" customFormat="false" ht="39.75" hidden="false" customHeight="true" outlineLevel="0" collapsed="false">
      <c r="A12" s="12" t="s">
        <v>3503</v>
      </c>
      <c r="B12" s="8" t="s">
        <v>3668</v>
      </c>
      <c r="C12" s="8" t="s">
        <v>3669</v>
      </c>
      <c r="D12" s="8" t="s">
        <v>3670</v>
      </c>
      <c r="E12" s="8" t="s">
        <v>3671</v>
      </c>
      <c r="F12" s="8" t="s">
        <v>3672</v>
      </c>
      <c r="G12" s="12" t="n">
        <f aca="false">COUNTIF(Traceability!$D$2:$D$960,A12)</f>
        <v>91</v>
      </c>
      <c r="H12" s="12" t="n">
        <f aca="false">COUNTIF('ROW Features'!$S$4:$S$326,"New_Requirements.md*")</f>
        <v>91</v>
      </c>
      <c r="I12" s="12" t="s">
        <v>3652</v>
      </c>
      <c r="J12" s="8" t="s">
        <v>3673</v>
      </c>
    </row>
    <row r="14" customFormat="false" ht="14.25" hidden="false" customHeight="false" outlineLevel="0" collapsed="false">
      <c r="A14" s="10" t="s">
        <v>3674</v>
      </c>
    </row>
    <row r="15" customFormat="false" ht="14.25" hidden="false" customHeight="false" outlineLevel="0" collapsed="false">
      <c r="A15" s="5" t="s">
        <v>3675</v>
      </c>
    </row>
    <row r="16" customFormat="false" ht="14.25" hidden="false" customHeight="false" outlineLevel="0" collapsed="false">
      <c r="A16" s="5" t="s">
        <v>3676</v>
      </c>
    </row>
    <row r="17" customFormat="false" ht="14.25" hidden="false" customHeight="false" outlineLevel="0" collapsed="false">
      <c r="A17" s="5" t="s">
        <v>3677</v>
      </c>
    </row>
    <row r="18" customFormat="false" ht="14.25" hidden="false" customHeight="false" outlineLevel="0" collapsed="false">
      <c r="A18" s="5" t="s">
        <v>3678</v>
      </c>
    </row>
    <row r="19" customFormat="false" ht="14.25" hidden="false" customHeight="false" outlineLevel="0" collapsed="false">
      <c r="A19" s="5" t="s">
        <v>3679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0" width="48"/>
    <col collapsed="false" customWidth="true" hidden="false" outlineLevel="0" max="9" min="2" style="0" width="17"/>
  </cols>
  <sheetData>
    <row r="1" customFormat="false" ht="15" hidden="false" customHeight="true" outlineLevel="0" collapsed="false">
      <c r="A1" s="16" t="s">
        <v>3680</v>
      </c>
    </row>
    <row r="3" customFormat="false" ht="14.25" hidden="false" customHeight="false" outlineLevel="0" collapsed="false">
      <c r="A3" s="10" t="s">
        <v>3681</v>
      </c>
    </row>
    <row r="4" customFormat="false" ht="26.25" hidden="false" customHeight="true" outlineLevel="0" collapsed="false">
      <c r="A4" s="17" t="s">
        <v>161</v>
      </c>
      <c r="B4" s="17" t="s">
        <v>2483</v>
      </c>
      <c r="C4" s="17" t="s">
        <v>2648</v>
      </c>
      <c r="D4" s="17" t="s">
        <v>3682</v>
      </c>
      <c r="E4" s="17" t="s">
        <v>1471</v>
      </c>
      <c r="F4" s="17" t="s">
        <v>3683</v>
      </c>
      <c r="G4" s="17" t="s">
        <v>141</v>
      </c>
    </row>
    <row r="5" customFormat="false" ht="14.25" hidden="false" customHeight="false" outlineLevel="0" collapsed="false">
      <c r="A5" s="18" t="s">
        <v>188</v>
      </c>
      <c r="B5" s="18" t="n">
        <f aca="false">COUNTIFS('ROW Features'!$B$4:$B$326,$A5,'ROW Features'!$H$4:$H$326,B$4)</f>
        <v>107</v>
      </c>
      <c r="C5" s="18" t="n">
        <f aca="false">COUNTIFS('ROW Features'!$B$4:$B$326,$A5,'ROW Features'!$H$4:$H$326,C$4)</f>
        <v>4</v>
      </c>
      <c r="D5" s="18" t="n">
        <f aca="false">COUNTIFS('ROW Features'!$B$4:$B$326,$A5,'ROW Features'!$H$4:$H$326,D$4)</f>
        <v>1</v>
      </c>
      <c r="E5" s="18" t="n">
        <f aca="false">COUNTIFS('ROW Features'!$B$4:$B$326,$A5,'ROW Features'!$H$4:$H$326,E$4)</f>
        <v>72</v>
      </c>
      <c r="F5" s="18" t="n">
        <f aca="false">COUNTIFS('ROW Features'!$B$4:$B$326,$A5,'ROW Features'!$H$4:$H$326,F$4)</f>
        <v>3</v>
      </c>
      <c r="G5" s="18" t="n">
        <f aca="false">SUM(B5:F5)</f>
        <v>187</v>
      </c>
    </row>
    <row r="6" customFormat="false" ht="14.25" hidden="false" customHeight="false" outlineLevel="0" collapsed="false">
      <c r="A6" s="18" t="s">
        <v>816</v>
      </c>
      <c r="B6" s="18" t="n">
        <f aca="false">COUNTIFS('ROW Features'!$B$4:$B$326,$A6,'ROW Features'!$H$4:$H$326,B$4)</f>
        <v>29</v>
      </c>
      <c r="C6" s="18" t="n">
        <f aca="false">COUNTIFS('ROW Features'!$B$4:$B$326,$A6,'ROW Features'!$H$4:$H$326,C$4)</f>
        <v>0</v>
      </c>
      <c r="D6" s="18" t="n">
        <f aca="false">COUNTIFS('ROW Features'!$B$4:$B$326,$A6,'ROW Features'!$H$4:$H$326,D$4)</f>
        <v>0</v>
      </c>
      <c r="E6" s="18" t="n">
        <f aca="false">COUNTIFS('ROW Features'!$B$4:$B$326,$A6,'ROW Features'!$H$4:$H$326,E$4)</f>
        <v>15</v>
      </c>
      <c r="F6" s="18" t="n">
        <f aca="false">COUNTIFS('ROW Features'!$B$4:$B$326,$A6,'ROW Features'!$H$4:$H$326,F$4)</f>
        <v>0</v>
      </c>
      <c r="G6" s="18" t="n">
        <f aca="false">SUM(B6:F6)</f>
        <v>44</v>
      </c>
    </row>
    <row r="7" customFormat="false" ht="14.25" hidden="false" customHeight="false" outlineLevel="0" collapsed="false">
      <c r="A7" s="18" t="s">
        <v>1004</v>
      </c>
      <c r="B7" s="18" t="n">
        <f aca="false">COUNTIFS('ROW Features'!$B$4:$B$326,$A7,'ROW Features'!$H$4:$H$326,B$4)</f>
        <v>5</v>
      </c>
      <c r="C7" s="18" t="n">
        <f aca="false">COUNTIFS('ROW Features'!$B$4:$B$326,$A7,'ROW Features'!$H$4:$H$326,C$4)</f>
        <v>0</v>
      </c>
      <c r="D7" s="18" t="n">
        <f aca="false">COUNTIFS('ROW Features'!$B$4:$B$326,$A7,'ROW Features'!$H$4:$H$326,D$4)</f>
        <v>0</v>
      </c>
      <c r="E7" s="18" t="n">
        <f aca="false">COUNTIFS('ROW Features'!$B$4:$B$326,$A7,'ROW Features'!$H$4:$H$326,E$4)</f>
        <v>9</v>
      </c>
      <c r="F7" s="18" t="n">
        <f aca="false">COUNTIFS('ROW Features'!$B$4:$B$326,$A7,'ROW Features'!$H$4:$H$326,F$4)</f>
        <v>2</v>
      </c>
      <c r="G7" s="18" t="n">
        <f aca="false">SUM(B7:F7)</f>
        <v>16</v>
      </c>
    </row>
    <row r="8" customFormat="false" ht="14.25" hidden="false" customHeight="false" outlineLevel="0" collapsed="false">
      <c r="A8" s="18" t="s">
        <v>1047</v>
      </c>
      <c r="B8" s="18" t="n">
        <f aca="false">COUNTIFS('ROW Features'!$B$4:$B$326,$A8,'ROW Features'!$H$4:$H$326,B$4)</f>
        <v>74</v>
      </c>
      <c r="C8" s="18" t="n">
        <f aca="false">COUNTIFS('ROW Features'!$B$4:$B$326,$A8,'ROW Features'!$H$4:$H$326,C$4)</f>
        <v>2</v>
      </c>
      <c r="D8" s="18" t="n">
        <f aca="false">COUNTIFS('ROW Features'!$B$4:$B$326,$A8,'ROW Features'!$H$4:$H$326,D$4)</f>
        <v>0</v>
      </c>
      <c r="E8" s="18" t="n">
        <f aca="false">COUNTIFS('ROW Features'!$B$4:$B$326,$A8,'ROW Features'!$H$4:$H$326,E$4)</f>
        <v>0</v>
      </c>
      <c r="F8" s="18" t="n">
        <f aca="false">COUNTIFS('ROW Features'!$B$4:$B$326,$A8,'ROW Features'!$H$4:$H$326,F$4)</f>
        <v>0</v>
      </c>
      <c r="G8" s="18" t="n">
        <f aca="false">SUM(B8:F8)</f>
        <v>76</v>
      </c>
    </row>
    <row r="9" customFormat="false" ht="14.25" hidden="false" customHeight="false" outlineLevel="0" collapsed="false">
      <c r="A9" s="10" t="s">
        <v>141</v>
      </c>
      <c r="B9" s="10" t="n">
        <f aca="false">SUM(B5:B8)</f>
        <v>215</v>
      </c>
      <c r="C9" s="10" t="n">
        <f aca="false">SUM(C5:C8)</f>
        <v>6</v>
      </c>
      <c r="D9" s="10" t="n">
        <f aca="false">SUM(D5:D8)</f>
        <v>1</v>
      </c>
      <c r="E9" s="10" t="n">
        <f aca="false">SUM(E5:E8)</f>
        <v>96</v>
      </c>
      <c r="F9" s="10" t="n">
        <f aca="false">SUM(F5:F8)</f>
        <v>5</v>
      </c>
      <c r="G9" s="10" t="n">
        <f aca="false">SUM(G5:G8)</f>
        <v>323</v>
      </c>
    </row>
    <row r="11" customFormat="false" ht="14.25" hidden="false" customHeight="false" outlineLevel="0" collapsed="false">
      <c r="A11" s="10" t="s">
        <v>3684</v>
      </c>
    </row>
    <row r="12" customFormat="false" ht="14.25" hidden="false" customHeight="false" outlineLevel="0" collapsed="false">
      <c r="A12" s="17" t="s">
        <v>3685</v>
      </c>
      <c r="B12" s="17" t="s">
        <v>3686</v>
      </c>
    </row>
    <row r="13" customFormat="false" ht="14.25" hidden="false" customHeight="false" outlineLevel="0" collapsed="false">
      <c r="A13" s="18" t="s">
        <v>3687</v>
      </c>
      <c r="B13" s="18" t="n">
        <f aca="false">COUNTIF('ROW Features'!$L$4:$L$326,A13)</f>
        <v>43</v>
      </c>
    </row>
    <row r="14" customFormat="false" ht="14.25" hidden="false" customHeight="false" outlineLevel="0" collapsed="false">
      <c r="A14" s="18" t="s">
        <v>3688</v>
      </c>
      <c r="B14" s="18" t="n">
        <f aca="false">COUNTIF('ROW Features'!$L$4:$L$326,A14)</f>
        <v>53</v>
      </c>
    </row>
    <row r="15" customFormat="false" ht="14.25" hidden="false" customHeight="false" outlineLevel="0" collapsed="false">
      <c r="A15" s="18" t="s">
        <v>3689</v>
      </c>
      <c r="B15" s="18" t="n">
        <f aca="false">COUNTIF('ROW Features'!$L$4:$L$326,A15)</f>
        <v>119</v>
      </c>
    </row>
    <row r="16" customFormat="false" ht="14.25" hidden="false" customHeight="false" outlineLevel="0" collapsed="false">
      <c r="A16" s="18" t="s">
        <v>3690</v>
      </c>
      <c r="B16" s="18" t="n">
        <f aca="false">COUNTIF('ROW Features'!$L$4:$L$326,A16)</f>
        <v>6</v>
      </c>
    </row>
    <row r="17" customFormat="false" ht="14.25" hidden="false" customHeight="false" outlineLevel="0" collapsed="false">
      <c r="A17" s="18" t="s">
        <v>3691</v>
      </c>
      <c r="B17" s="18" t="n">
        <f aca="false">COUNTIF('ROW Features'!$L$4:$L$326,A17)</f>
        <v>1</v>
      </c>
    </row>
    <row r="18" customFormat="false" ht="14.25" hidden="false" customHeight="false" outlineLevel="0" collapsed="false">
      <c r="A18" s="18" t="s">
        <v>1473</v>
      </c>
      <c r="B18" s="18" t="n">
        <f aca="false">COUNTIF('ROW Features'!$L$4:$L$326,A18)</f>
        <v>96</v>
      </c>
    </row>
    <row r="19" customFormat="false" ht="14.25" hidden="false" customHeight="false" outlineLevel="0" collapsed="false">
      <c r="A19" s="18" t="s">
        <v>3692</v>
      </c>
      <c r="B19" s="18" t="n">
        <f aca="false">COUNTIF('ROW Features'!$L$4:$L$326,A19)</f>
        <v>5</v>
      </c>
    </row>
    <row r="21" customFormat="false" ht="14.25" hidden="false" customHeight="false" outlineLevel="0" collapsed="false">
      <c r="A21" s="10" t="s">
        <v>3693</v>
      </c>
    </row>
    <row r="22" customFormat="false" ht="26.25" hidden="false" customHeight="true" outlineLevel="0" collapsed="false">
      <c r="A22" s="17" t="s">
        <v>3694</v>
      </c>
      <c r="B22" s="17" t="s">
        <v>3695</v>
      </c>
      <c r="C22" s="17" t="s">
        <v>3696</v>
      </c>
      <c r="D22" s="17" t="s">
        <v>3697</v>
      </c>
      <c r="E22" s="17" t="s">
        <v>3698</v>
      </c>
      <c r="F22" s="17" t="s">
        <v>1471</v>
      </c>
    </row>
    <row r="23" customFormat="false" ht="14.25" hidden="false" customHeight="false" outlineLevel="0" collapsed="false">
      <c r="A23" s="18" t="s">
        <v>3699</v>
      </c>
      <c r="B23" s="18" t="n">
        <f aca="false">COUNTA('ROW Features'!M4:M326)</f>
        <v>156</v>
      </c>
      <c r="C23" s="18" t="n">
        <f aca="false">COUNTIF('ROW Features'!M4:M326,"M")</f>
        <v>147</v>
      </c>
      <c r="D23" s="18" t="n">
        <f aca="false">COUNTIF('ROW Features'!M4:M326,"S")</f>
        <v>8</v>
      </c>
      <c r="E23" s="18" t="n">
        <f aca="false">COUNTIF('ROW Features'!M4:M326,"C")</f>
        <v>0</v>
      </c>
      <c r="F23" s="18" t="n">
        <f aca="false">COUNTIF('ROW Features'!M4:M326,"E")</f>
        <v>1</v>
      </c>
    </row>
    <row r="24" customFormat="false" ht="14.25" hidden="false" customHeight="false" outlineLevel="0" collapsed="false">
      <c r="A24" s="18" t="s">
        <v>3700</v>
      </c>
      <c r="B24" s="18" t="n">
        <f aca="false">COUNTA('ROW Features'!N4:N326)</f>
        <v>122</v>
      </c>
      <c r="C24" s="18" t="n">
        <f aca="false">COUNTIF('ROW Features'!N4:N326,"M")</f>
        <v>119</v>
      </c>
      <c r="D24" s="18" t="n">
        <f aca="false">COUNTIF('ROW Features'!N4:N326,"S")</f>
        <v>0</v>
      </c>
      <c r="E24" s="18" t="n">
        <f aca="false">COUNTIF('ROW Features'!N4:N326,"C")</f>
        <v>3</v>
      </c>
      <c r="F24" s="18" t="n">
        <f aca="false">COUNTIF('ROW Features'!N4:N326,"E")</f>
        <v>0</v>
      </c>
    </row>
    <row r="25" customFormat="false" ht="14.25" hidden="false" customHeight="false" outlineLevel="0" collapsed="false">
      <c r="A25" s="18" t="s">
        <v>3701</v>
      </c>
      <c r="B25" s="18" t="n">
        <f aca="false">COUNTA('ROW Features'!O4:O326)</f>
        <v>35</v>
      </c>
      <c r="C25" s="18" t="n">
        <f aca="false">COUNTIF('ROW Features'!O4:O326,"M")</f>
        <v>30</v>
      </c>
      <c r="D25" s="18" t="n">
        <f aca="false">COUNTIF('ROW Features'!O4:O326,"S")</f>
        <v>5</v>
      </c>
      <c r="E25" s="18" t="n">
        <f aca="false">COUNTIF('ROW Features'!O4:O326,"C")</f>
        <v>0</v>
      </c>
      <c r="F25" s="18" t="n">
        <f aca="false">COUNTIF('ROW Features'!O4:O326,"E")</f>
        <v>0</v>
      </c>
    </row>
    <row r="26" customFormat="false" ht="14.25" hidden="false" customHeight="false" outlineLevel="0" collapsed="false">
      <c r="A26" s="18" t="s">
        <v>3702</v>
      </c>
      <c r="B26" s="18" t="n">
        <f aca="false">COUNTA('ROW Features'!P4:P326)</f>
        <v>32</v>
      </c>
      <c r="C26" s="18" t="n">
        <f aca="false">COUNTIF('ROW Features'!P4:P326,"M")</f>
        <v>0</v>
      </c>
      <c r="D26" s="18" t="n">
        <f aca="false">COUNTIF('ROW Features'!P4:P326,"S")</f>
        <v>0</v>
      </c>
      <c r="E26" s="18" t="n">
        <f aca="false">COUNTIF('ROW Features'!P4:P326,"C")</f>
        <v>0</v>
      </c>
      <c r="F26" s="18" t="n">
        <f aca="false">COUNTIF('ROW Features'!P4:P326,"E")</f>
        <v>32</v>
      </c>
    </row>
    <row r="27" customFormat="false" ht="14.25" hidden="false" customHeight="false" outlineLevel="0" collapsed="false">
      <c r="A27" s="18" t="s">
        <v>3703</v>
      </c>
      <c r="B27" s="18" t="n">
        <f aca="false">COUNTA('ROW Features'!Q4:Q326)</f>
        <v>40</v>
      </c>
      <c r="C27" s="18" t="n">
        <f aca="false">COUNTIF('ROW Features'!Q4:Q326,"M")</f>
        <v>38</v>
      </c>
      <c r="D27" s="18" t="n">
        <f aca="false">COUNTIF('ROW Features'!Q4:Q326,"S")</f>
        <v>2</v>
      </c>
      <c r="E27" s="18" t="n">
        <f aca="false">COUNTIF('ROW Features'!Q4:Q326,"C")</f>
        <v>0</v>
      </c>
      <c r="F27" s="18" t="n">
        <f aca="false">COUNTIF('ROW Features'!Q4:Q326,"E")</f>
        <v>0</v>
      </c>
    </row>
    <row r="28" customFormat="false" ht="14.25" hidden="false" customHeight="false" outlineLevel="0" collapsed="false">
      <c r="A28" s="18" t="s">
        <v>3704</v>
      </c>
      <c r="B28" s="18" t="n">
        <f aca="false">COUNTA('ROW Features'!R4:R326)</f>
        <v>42</v>
      </c>
      <c r="C28" s="18" t="n">
        <f aca="false">COUNTIF('ROW Features'!R4:R326,"M")</f>
        <v>40</v>
      </c>
      <c r="D28" s="18" t="n">
        <f aca="false">COUNTIF('ROW Features'!R4:R326,"S")</f>
        <v>2</v>
      </c>
      <c r="E28" s="18" t="n">
        <f aca="false">COUNTIF('ROW Features'!R4:R326,"C")</f>
        <v>0</v>
      </c>
      <c r="F28" s="18" t="n">
        <f aca="false">COUNTIF('ROW Features'!R4:R326,"E")</f>
        <v>0</v>
      </c>
    </row>
    <row r="30" customFormat="false" ht="14.25" hidden="false" customHeight="false" outlineLevel="0" collapsed="false">
      <c r="A30" s="10" t="s">
        <v>3705</v>
      </c>
    </row>
    <row r="31" customFormat="false" ht="26.25" hidden="false" customHeight="true" outlineLevel="0" collapsed="false">
      <c r="A31" s="17" t="s">
        <v>161</v>
      </c>
      <c r="B31" s="17" t="s">
        <v>197</v>
      </c>
      <c r="C31" s="17" t="s">
        <v>227</v>
      </c>
      <c r="D31" s="17" t="s">
        <v>214</v>
      </c>
      <c r="E31" s="17" t="s">
        <v>204</v>
      </c>
    </row>
    <row r="32" customFormat="false" ht="14.25" hidden="false" customHeight="false" outlineLevel="0" collapsed="false">
      <c r="A32" s="18" t="s">
        <v>188</v>
      </c>
      <c r="B32" s="18" t="n">
        <f aca="false">COUNTIFS('ROW Features'!$B$4:$B$326,$A32,'ROW Features'!$V$4:$V$326,B$31)</f>
        <v>31</v>
      </c>
      <c r="C32" s="18" t="n">
        <f aca="false">COUNTIFS('ROW Features'!$B$4:$B$326,$A32,'ROW Features'!$V$4:$V$326,C$31)</f>
        <v>10</v>
      </c>
      <c r="D32" s="18" t="n">
        <f aca="false">COUNTIFS('ROW Features'!$B$4:$B$326,$A32,'ROW Features'!$V$4:$V$326,D$31)</f>
        <v>1</v>
      </c>
      <c r="E32" s="18" t="n">
        <f aca="false">COUNTIFS('ROW Features'!$B$4:$B$326,$A32,'ROW Features'!$V$4:$V$326,E$31)</f>
        <v>74</v>
      </c>
    </row>
    <row r="33" customFormat="false" ht="14.25" hidden="false" customHeight="false" outlineLevel="0" collapsed="false">
      <c r="A33" s="18" t="s">
        <v>816</v>
      </c>
      <c r="B33" s="18" t="n">
        <f aca="false">COUNTIFS('ROW Features'!$B$4:$B$326,$A33,'ROW Features'!$V$4:$V$326,B$31)</f>
        <v>7</v>
      </c>
      <c r="C33" s="18" t="n">
        <f aca="false">COUNTIFS('ROW Features'!$B$4:$B$326,$A33,'ROW Features'!$V$4:$V$326,C$31)</f>
        <v>2</v>
      </c>
      <c r="D33" s="18" t="n">
        <f aca="false">COUNTIFS('ROW Features'!$B$4:$B$326,$A33,'ROW Features'!$V$4:$V$326,D$31)</f>
        <v>0</v>
      </c>
      <c r="E33" s="18" t="n">
        <f aca="false">COUNTIFS('ROW Features'!$B$4:$B$326,$A33,'ROW Features'!$V$4:$V$326,E$31)</f>
        <v>24</v>
      </c>
    </row>
    <row r="34" customFormat="false" ht="14.25" hidden="false" customHeight="false" outlineLevel="0" collapsed="false">
      <c r="A34" s="18" t="s">
        <v>1004</v>
      </c>
      <c r="B34" s="18" t="n">
        <f aca="false">COUNTIFS('ROW Features'!$B$4:$B$326,$A34,'ROW Features'!$V$4:$V$326,B$31)</f>
        <v>5</v>
      </c>
      <c r="C34" s="18" t="n">
        <f aca="false">COUNTIFS('ROW Features'!$B$4:$B$326,$A34,'ROW Features'!$V$4:$V$326,C$31)</f>
        <v>1</v>
      </c>
      <c r="D34" s="18" t="n">
        <f aca="false">COUNTIFS('ROW Features'!$B$4:$B$326,$A34,'ROW Features'!$V$4:$V$326,D$31)</f>
        <v>0</v>
      </c>
      <c r="E34" s="18" t="n">
        <f aca="false">COUNTIFS('ROW Features'!$B$4:$B$326,$A34,'ROW Features'!$V$4:$V$326,E$31)</f>
        <v>1</v>
      </c>
    </row>
    <row r="35" customFormat="false" ht="14.25" hidden="false" customHeight="false" outlineLevel="0" collapsed="false">
      <c r="A35" s="18" t="s">
        <v>1047</v>
      </c>
      <c r="B35" s="18" t="n">
        <f aca="false">COUNTIFS('ROW Features'!$B$4:$B$326,$A35,'ROW Features'!$V$4:$V$326,B$31)</f>
        <v>15</v>
      </c>
      <c r="C35" s="18" t="n">
        <f aca="false">COUNTIFS('ROW Features'!$B$4:$B$326,$A35,'ROW Features'!$V$4:$V$326,C$31)</f>
        <v>3</v>
      </c>
      <c r="D35" s="18" t="n">
        <f aca="false">COUNTIFS('ROW Features'!$B$4:$B$326,$A35,'ROW Features'!$V$4:$V$326,D$31)</f>
        <v>5</v>
      </c>
      <c r="E35" s="18" t="n">
        <f aca="false">COUNTIFS('ROW Features'!$B$4:$B$326,$A35,'ROW Features'!$V$4:$V$326,E$31)</f>
        <v>53</v>
      </c>
    </row>
    <row r="37" customFormat="false" ht="14.25" hidden="false" customHeight="false" outlineLevel="0" collapsed="false">
      <c r="A37" s="10" t="s">
        <v>3706</v>
      </c>
    </row>
    <row r="38" customFormat="false" ht="39" hidden="false" customHeight="true" outlineLevel="0" collapsed="false">
      <c r="A38" s="17" t="s">
        <v>161</v>
      </c>
      <c r="B38" s="17" t="s">
        <v>3707</v>
      </c>
      <c r="C38" s="17" t="s">
        <v>3708</v>
      </c>
      <c r="D38" s="17" t="s">
        <v>3709</v>
      </c>
    </row>
    <row r="39" customFormat="false" ht="14.25" hidden="false" customHeight="false" outlineLevel="0" collapsed="false">
      <c r="A39" s="18" t="s">
        <v>188</v>
      </c>
      <c r="B39" s="18" t="n">
        <f aca="false">COUNTIFS('ROW Features'!$B$4:$B$326,$A39,'ROW Features'!$H$4:$H$326,"Must Have",'ROW Features'!$V$4:$V$326,"Not evidenced")</f>
        <v>68</v>
      </c>
      <c r="C39" s="18" t="n">
        <f aca="false">COUNTIFS('ROW Features'!$B$4:$B$326,$A39,'ROW Features'!$H$4:$H$326,"Must Have",'ROW Features'!$V$4:$V$326,"Partial")</f>
        <v>10</v>
      </c>
      <c r="D39" s="18" t="n">
        <f aca="false">COUNTIFS('ROW Features'!$B$4:$B$326,$A39,'ROW Features'!$H$4:$H$326,"Must Have",'ROW Features'!$V$4:$V$326,"Platform / demo only")</f>
        <v>0</v>
      </c>
    </row>
    <row r="40" customFormat="false" ht="14.25" hidden="false" customHeight="false" outlineLevel="0" collapsed="false">
      <c r="A40" s="18" t="s">
        <v>816</v>
      </c>
      <c r="B40" s="18" t="n">
        <f aca="false">COUNTIFS('ROW Features'!$B$4:$B$326,$A40,'ROW Features'!$H$4:$H$326,"Must Have",'ROW Features'!$V$4:$V$326,"Not evidenced")</f>
        <v>21</v>
      </c>
      <c r="C40" s="18" t="n">
        <f aca="false">COUNTIFS('ROW Features'!$B$4:$B$326,$A40,'ROW Features'!$H$4:$H$326,"Must Have",'ROW Features'!$V$4:$V$326,"Partial")</f>
        <v>2</v>
      </c>
      <c r="D40" s="18" t="n">
        <f aca="false">COUNTIFS('ROW Features'!$B$4:$B$326,$A40,'ROW Features'!$H$4:$H$326,"Must Have",'ROW Features'!$V$4:$V$326,"Platform / demo only")</f>
        <v>0</v>
      </c>
    </row>
    <row r="41" customFormat="false" ht="14.25" hidden="false" customHeight="false" outlineLevel="0" collapsed="false">
      <c r="A41" s="18" t="s">
        <v>1004</v>
      </c>
      <c r="B41" s="18" t="n">
        <f aca="false">COUNTIFS('ROW Features'!$B$4:$B$326,$A41,'ROW Features'!$H$4:$H$326,"Must Have",'ROW Features'!$V$4:$V$326,"Not evidenced")</f>
        <v>1</v>
      </c>
      <c r="C41" s="18" t="n">
        <f aca="false">COUNTIFS('ROW Features'!$B$4:$B$326,$A41,'ROW Features'!$H$4:$H$326,"Must Have",'ROW Features'!$V$4:$V$326,"Partial")</f>
        <v>1</v>
      </c>
      <c r="D41" s="18" t="n">
        <f aca="false">COUNTIFS('ROW Features'!$B$4:$B$326,$A41,'ROW Features'!$H$4:$H$326,"Must Have",'ROW Features'!$V$4:$V$326,"Platform / demo only")</f>
        <v>0</v>
      </c>
    </row>
    <row r="42" customFormat="false" ht="14.25" hidden="false" customHeight="false" outlineLevel="0" collapsed="false">
      <c r="A42" s="18" t="s">
        <v>1047</v>
      </c>
      <c r="B42" s="18" t="n">
        <f aca="false">COUNTIFS('ROW Features'!$B$4:$B$326,$A42,'ROW Features'!$H$4:$H$326,"Must Have",'ROW Features'!$V$4:$V$326,"Not evidenced")</f>
        <v>52</v>
      </c>
      <c r="C42" s="18" t="n">
        <f aca="false">COUNTIFS('ROW Features'!$B$4:$B$326,$A42,'ROW Features'!$H$4:$H$326,"Must Have",'ROW Features'!$V$4:$V$326,"Partial")</f>
        <v>3</v>
      </c>
      <c r="D42" s="18" t="n">
        <f aca="false">COUNTIFS('ROW Features'!$B$4:$B$326,$A42,'ROW Features'!$H$4:$H$326,"Must Have",'ROW Features'!$V$4:$V$326,"Platform / demo only")</f>
        <v>5</v>
      </c>
    </row>
    <row r="44" customFormat="false" ht="14.25" hidden="false" customHeight="false" outlineLevel="0" collapsed="false">
      <c r="A44" s="10" t="s">
        <v>3710</v>
      </c>
    </row>
    <row r="45" customFormat="false" ht="26.25" hidden="false" customHeight="true" outlineLevel="0" collapsed="false">
      <c r="A45" s="17" t="s">
        <v>1980</v>
      </c>
      <c r="B45" s="17" t="s">
        <v>2483</v>
      </c>
      <c r="C45" s="17" t="s">
        <v>2648</v>
      </c>
      <c r="D45" s="17" t="s">
        <v>3682</v>
      </c>
      <c r="E45" s="17" t="s">
        <v>1471</v>
      </c>
      <c r="F45" s="17" t="s">
        <v>3683</v>
      </c>
      <c r="G45" s="17" t="s">
        <v>141</v>
      </c>
    </row>
    <row r="46" customFormat="false" ht="14.25" hidden="false" customHeight="false" outlineLevel="0" collapsed="false">
      <c r="A46" s="18" t="s">
        <v>1986</v>
      </c>
      <c r="B46" s="18" t="n">
        <f aca="false">COUNTIF('City-County ROW Use'!$H$4:$H$49,B$45)</f>
        <v>32</v>
      </c>
      <c r="C46" s="18" t="n">
        <f aca="false">COUNTIF('City-County ROW Use'!$H$4:$H$49,C$45)</f>
        <v>0</v>
      </c>
      <c r="D46" s="18" t="n">
        <f aca="false">COUNTIF('City-County ROW Use'!$H$4:$H$49,D$45)</f>
        <v>11</v>
      </c>
      <c r="E46" s="18" t="n">
        <f aca="false">COUNTIF('City-County ROW Use'!$H$4:$H$49,E$45)</f>
        <v>3</v>
      </c>
      <c r="F46" s="18" t="n">
        <f aca="false">COUNTIF('City-County ROW Use'!$H$4:$H$49,F$45)</f>
        <v>0</v>
      </c>
      <c r="G46" s="18" t="n">
        <f aca="false">SUM(B46:F46)</f>
        <v>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1" topLeftCell="A7" activePane="bottomLeft" state="frozen"/>
      <selection pane="topLeft" activeCell="A1" activeCellId="0" sqref="A1"/>
      <selection pane="bottomLeft" activeCell="A1" activeCellId="0" sqref="A1"/>
    </sheetView>
  </sheetViews>
  <sheetFormatPr defaultColWidth="8.6328125" defaultRowHeight="14.2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10"/>
    <col collapsed="false" customWidth="true" hidden="false" outlineLevel="0" max="4" min="4" style="0" width="26"/>
    <col collapsed="false" customWidth="true" hidden="false" outlineLevel="0" max="5" min="5" style="0" width="70"/>
    <col collapsed="false" customWidth="true" hidden="false" outlineLevel="0" max="6" min="6" style="0" width="55"/>
    <col collapsed="false" customWidth="true" hidden="false" outlineLevel="0" max="7" min="7" style="0" width="26"/>
  </cols>
  <sheetData>
    <row r="1" customFormat="false" ht="42" hidden="false" customHeight="true" outlineLevel="0" collapsed="false">
      <c r="A1" s="6" t="s">
        <v>3711</v>
      </c>
      <c r="B1" s="6" t="s">
        <v>3712</v>
      </c>
      <c r="C1" s="6" t="s">
        <v>3694</v>
      </c>
      <c r="D1" s="6" t="s">
        <v>3713</v>
      </c>
      <c r="E1" s="6" t="s">
        <v>3714</v>
      </c>
      <c r="F1" s="6" t="s">
        <v>3715</v>
      </c>
      <c r="G1" s="6" t="s">
        <v>3716</v>
      </c>
    </row>
    <row r="2" customFormat="false" ht="37.5" hidden="false" customHeight="true" outlineLevel="0" collapsed="false">
      <c r="A2" s="12" t="n">
        <v>1</v>
      </c>
      <c r="B2" s="8" t="s">
        <v>3717</v>
      </c>
      <c r="C2" s="8" t="s">
        <v>3718</v>
      </c>
      <c r="D2" s="8" t="s">
        <v>3719</v>
      </c>
      <c r="E2" s="8" t="s">
        <v>3720</v>
      </c>
      <c r="F2" s="8" t="s">
        <v>3721</v>
      </c>
      <c r="G2" s="8" t="s">
        <v>3507</v>
      </c>
    </row>
    <row r="3" customFormat="false" ht="24.75" hidden="false" customHeight="true" outlineLevel="0" collapsed="false">
      <c r="A3" s="12" t="n">
        <v>2</v>
      </c>
      <c r="B3" s="8" t="s">
        <v>3722</v>
      </c>
      <c r="C3" s="8" t="s">
        <v>1981</v>
      </c>
      <c r="D3" s="8" t="s">
        <v>3723</v>
      </c>
      <c r="E3" s="8" t="s">
        <v>3724</v>
      </c>
      <c r="F3" s="8" t="s">
        <v>3725</v>
      </c>
      <c r="G3" s="8" t="s">
        <v>3726</v>
      </c>
    </row>
    <row r="4" customFormat="false" ht="24.75" hidden="false" customHeight="true" outlineLevel="0" collapsed="false">
      <c r="A4" s="12" t="n">
        <v>3</v>
      </c>
      <c r="B4" s="8" t="s">
        <v>3727</v>
      </c>
      <c r="C4" s="8" t="s">
        <v>171</v>
      </c>
      <c r="D4" s="8" t="s">
        <v>3728</v>
      </c>
      <c r="E4" s="8" t="s">
        <v>3729</v>
      </c>
      <c r="F4" s="8" t="s">
        <v>3730</v>
      </c>
      <c r="G4" s="8" t="s">
        <v>3731</v>
      </c>
    </row>
    <row r="5" customFormat="false" ht="14.25" hidden="false" customHeight="false" outlineLevel="0" collapsed="false">
      <c r="A5" s="12" t="n">
        <v>4</v>
      </c>
      <c r="B5" s="8" t="s">
        <v>3732</v>
      </c>
      <c r="C5" s="8" t="s">
        <v>171</v>
      </c>
      <c r="D5" s="8" t="s">
        <v>3733</v>
      </c>
      <c r="E5" s="8" t="s">
        <v>3734</v>
      </c>
      <c r="F5" s="8" t="s">
        <v>3735</v>
      </c>
      <c r="G5" s="8" t="s">
        <v>3736</v>
      </c>
    </row>
    <row r="6" customFormat="false" ht="24.75" hidden="false" customHeight="true" outlineLevel="0" collapsed="false">
      <c r="A6" s="12" t="n">
        <v>5</v>
      </c>
      <c r="B6" s="8" t="s">
        <v>3732</v>
      </c>
      <c r="C6" s="8" t="s">
        <v>171</v>
      </c>
      <c r="D6" s="8" t="s">
        <v>3737</v>
      </c>
      <c r="E6" s="8" t="s">
        <v>3738</v>
      </c>
      <c r="F6" s="8" t="s">
        <v>3739</v>
      </c>
      <c r="G6" s="8" t="s">
        <v>3740</v>
      </c>
    </row>
    <row r="7" customFormat="false" ht="14.25" hidden="false" customHeight="false" outlineLevel="0" collapsed="false">
      <c r="A7" s="12" t="n">
        <v>6</v>
      </c>
      <c r="B7" s="8" t="s">
        <v>3732</v>
      </c>
      <c r="C7" s="8" t="s">
        <v>171</v>
      </c>
      <c r="D7" s="8" t="s">
        <v>3741</v>
      </c>
      <c r="E7" s="8" t="s">
        <v>3742</v>
      </c>
      <c r="F7" s="8" t="s">
        <v>3735</v>
      </c>
      <c r="G7" s="8" t="s">
        <v>3736</v>
      </c>
    </row>
    <row r="8" customFormat="false" ht="14.25" hidden="false" customHeight="false" outlineLevel="0" collapsed="false">
      <c r="A8" s="12" t="n">
        <v>7</v>
      </c>
      <c r="B8" s="8" t="s">
        <v>3743</v>
      </c>
      <c r="C8" s="8" t="s">
        <v>171</v>
      </c>
      <c r="D8" s="8" t="s">
        <v>3744</v>
      </c>
      <c r="E8" s="8" t="s">
        <v>3745</v>
      </c>
      <c r="F8" s="8" t="s">
        <v>3746</v>
      </c>
      <c r="G8" s="8" t="s">
        <v>3747</v>
      </c>
    </row>
    <row r="9" customFormat="false" ht="24.75" hidden="false" customHeight="true" outlineLevel="0" collapsed="false">
      <c r="A9" s="12" t="n">
        <v>8</v>
      </c>
      <c r="B9" s="8" t="s">
        <v>3743</v>
      </c>
      <c r="C9" s="8" t="s">
        <v>171</v>
      </c>
      <c r="D9" s="8" t="s">
        <v>3748</v>
      </c>
      <c r="E9" s="8" t="s">
        <v>3749</v>
      </c>
      <c r="F9" s="8" t="s">
        <v>3750</v>
      </c>
      <c r="G9" s="8" t="s">
        <v>3736</v>
      </c>
    </row>
    <row r="10" customFormat="false" ht="24.75" hidden="false" customHeight="true" outlineLevel="0" collapsed="false">
      <c r="A10" s="12" t="n">
        <v>9</v>
      </c>
      <c r="B10" s="8" t="s">
        <v>3751</v>
      </c>
      <c r="C10" s="8" t="s">
        <v>171</v>
      </c>
      <c r="D10" s="8" t="s">
        <v>3752</v>
      </c>
      <c r="E10" s="8" t="s">
        <v>3753</v>
      </c>
      <c r="F10" s="8" t="s">
        <v>3754</v>
      </c>
      <c r="G10" s="8" t="s">
        <v>3507</v>
      </c>
    </row>
    <row r="11" customFormat="false" ht="24.75" hidden="false" customHeight="true" outlineLevel="0" collapsed="false">
      <c r="A11" s="12" t="n">
        <v>10</v>
      </c>
      <c r="B11" s="8" t="s">
        <v>3755</v>
      </c>
      <c r="C11" s="8" t="s">
        <v>3756</v>
      </c>
      <c r="D11" s="8" t="s">
        <v>3718</v>
      </c>
      <c r="E11" s="8" t="s">
        <v>3757</v>
      </c>
      <c r="F11" s="8" t="s">
        <v>3758</v>
      </c>
      <c r="G11" s="8" t="s">
        <v>3507</v>
      </c>
    </row>
    <row r="12" customFormat="false" ht="24.75" hidden="false" customHeight="true" outlineLevel="0" collapsed="false">
      <c r="A12" s="12" t="n">
        <v>11</v>
      </c>
      <c r="B12" s="8" t="s">
        <v>3759</v>
      </c>
      <c r="C12" s="8" t="s">
        <v>176</v>
      </c>
      <c r="D12" s="8" t="s">
        <v>3760</v>
      </c>
      <c r="E12" s="8" t="s">
        <v>3761</v>
      </c>
      <c r="F12" s="8" t="s">
        <v>3762</v>
      </c>
      <c r="G12" s="8" t="s">
        <v>3726</v>
      </c>
    </row>
    <row r="13" customFormat="false" ht="24.75" hidden="false" customHeight="true" outlineLevel="0" collapsed="false">
      <c r="A13" s="12" t="n">
        <v>12</v>
      </c>
      <c r="B13" s="8" t="s">
        <v>3759</v>
      </c>
      <c r="C13" s="8" t="s">
        <v>172</v>
      </c>
      <c r="D13" s="8" t="s">
        <v>3763</v>
      </c>
      <c r="E13" s="8" t="s">
        <v>3764</v>
      </c>
      <c r="F13" s="8" t="s">
        <v>3765</v>
      </c>
      <c r="G13" s="8" t="s">
        <v>3726</v>
      </c>
    </row>
    <row r="14" customFormat="false" ht="14.25" hidden="false" customHeight="false" outlineLevel="0" collapsed="false">
      <c r="A14" s="12" t="n">
        <v>13</v>
      </c>
      <c r="B14" s="8" t="s">
        <v>3759</v>
      </c>
      <c r="C14" s="8" t="s">
        <v>173</v>
      </c>
      <c r="D14" s="8" t="s">
        <v>3766</v>
      </c>
      <c r="E14" s="8" t="s">
        <v>3767</v>
      </c>
      <c r="F14" s="8" t="s">
        <v>3768</v>
      </c>
      <c r="G14" s="8" t="s">
        <v>3507</v>
      </c>
    </row>
    <row r="15" customFormat="false" ht="24.75" hidden="false" customHeight="true" outlineLevel="0" collapsed="false">
      <c r="A15" s="12" t="n">
        <v>14</v>
      </c>
      <c r="B15" s="8" t="s">
        <v>3769</v>
      </c>
      <c r="C15" s="8" t="s">
        <v>3718</v>
      </c>
      <c r="D15" s="8" t="s">
        <v>3770</v>
      </c>
      <c r="E15" s="8" t="s">
        <v>3771</v>
      </c>
      <c r="F15" s="8" t="s">
        <v>3772</v>
      </c>
      <c r="G15" s="8" t="s">
        <v>437</v>
      </c>
    </row>
    <row r="16" customFormat="false" ht="37.5" hidden="false" customHeight="true" outlineLevel="0" collapsed="false">
      <c r="A16" s="12" t="n">
        <v>15</v>
      </c>
      <c r="B16" s="8" t="s">
        <v>3769</v>
      </c>
      <c r="C16" s="8" t="s">
        <v>3773</v>
      </c>
      <c r="D16" s="8" t="s">
        <v>3774</v>
      </c>
      <c r="E16" s="8" t="s">
        <v>3775</v>
      </c>
      <c r="F16" s="8" t="s">
        <v>3776</v>
      </c>
      <c r="G16" s="8" t="s">
        <v>3777</v>
      </c>
    </row>
    <row r="17" customFormat="false" ht="24.75" hidden="false" customHeight="true" outlineLevel="0" collapsed="false">
      <c r="A17" s="12" t="n">
        <v>16</v>
      </c>
      <c r="B17" s="8" t="s">
        <v>3778</v>
      </c>
      <c r="C17" s="8" t="s">
        <v>175</v>
      </c>
      <c r="D17" s="8" t="s">
        <v>3779</v>
      </c>
      <c r="E17" s="8" t="s">
        <v>3780</v>
      </c>
      <c r="F17" s="8" t="s">
        <v>3781</v>
      </c>
      <c r="G17" s="8" t="s">
        <v>3507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2026-10-07T10:27:42Z</dcterms:created>
  <dc:creator>openpyxl</dc:creator>
  <dc:description/>
  <dc:language>en-US</dc:language>
  <cp:lastModifiedBy>Shivam Doshi</cp:lastModifiedBy>
  <dcterms:modified xsi:type="dcterms:W3CDTF">2026-10-13T11:26:29Z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